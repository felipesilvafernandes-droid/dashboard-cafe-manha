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pras.TRYPHIG\Desktop\"/>
    </mc:Choice>
  </mc:AlternateContent>
  <xr:revisionPtr revIDLastSave="0" documentId="13_ncr:1_{BE62C79D-DBCE-4E7D-AC2F-FF2A73F6F1E1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CUSTO" sheetId="1" r:id="rId1"/>
    <sheet name="DESPERDICIO" sheetId="2" state="hidden" r:id="rId2"/>
    <sheet name="DESCARTE" sheetId="3" r:id="rId3"/>
    <sheet name="PAINEL" sheetId="4" r:id="rId4"/>
    <sheet name="DASHBOARD" sheetId="10" r:id="rId5"/>
    <sheet name="BOLO BASE" sheetId="5" state="hidden" r:id="rId6"/>
    <sheet name="COBERTURA" sheetId="6" state="hidden" r:id="rId7"/>
    <sheet name="QUICHE" sheetId="7" state="hidden" r:id="rId8"/>
    <sheet name="PANQUECA WAFFLE" sheetId="8" state="hidden" r:id="rId9"/>
    <sheet name="SUCO VERDE" sheetId="9" state="hidden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9" l="1"/>
  <c r="I8" i="9"/>
  <c r="J7" i="9"/>
  <c r="I7" i="9"/>
  <c r="J6" i="9"/>
  <c r="I6" i="9"/>
  <c r="I5" i="9"/>
  <c r="J5" i="9" s="1"/>
  <c r="J4" i="9"/>
  <c r="J9" i="9" s="1"/>
  <c r="I4" i="9"/>
  <c r="J10" i="8"/>
  <c r="I10" i="8"/>
  <c r="I9" i="8"/>
  <c r="J9" i="8" s="1"/>
  <c r="I8" i="8"/>
  <c r="J8" i="8" s="1"/>
  <c r="I7" i="8"/>
  <c r="J7" i="8" s="1"/>
  <c r="J6" i="8"/>
  <c r="I6" i="8"/>
  <c r="I5" i="8"/>
  <c r="J5" i="8" s="1"/>
  <c r="I4" i="8"/>
  <c r="J4" i="8" s="1"/>
  <c r="I9" i="7"/>
  <c r="J9" i="7" s="1"/>
  <c r="J8" i="7"/>
  <c r="I8" i="7"/>
  <c r="J7" i="7"/>
  <c r="I7" i="7"/>
  <c r="I6" i="7"/>
  <c r="J6" i="7" s="1"/>
  <c r="I5" i="7"/>
  <c r="J5" i="7" s="1"/>
  <c r="I4" i="7"/>
  <c r="J4" i="7" s="1"/>
  <c r="I5" i="6"/>
  <c r="J5" i="6" s="1"/>
  <c r="J6" i="6" s="1"/>
  <c r="C7" i="6" s="1"/>
  <c r="J4" i="6"/>
  <c r="I4" i="6"/>
  <c r="J8" i="5"/>
  <c r="I8" i="5"/>
  <c r="I7" i="5"/>
  <c r="J7" i="5" s="1"/>
  <c r="I6" i="5"/>
  <c r="J6" i="5" s="1"/>
  <c r="I5" i="5"/>
  <c r="J5" i="5" s="1"/>
  <c r="G4" i="5"/>
  <c r="I4" i="5" s="1"/>
  <c r="J4" i="5" s="1"/>
  <c r="J9" i="5" s="1"/>
  <c r="E78" i="4"/>
  <c r="D78" i="4"/>
  <c r="B78" i="4"/>
  <c r="C78" i="4" s="1"/>
  <c r="E77" i="4"/>
  <c r="D77" i="4"/>
  <c r="C77" i="4"/>
  <c r="B77" i="4"/>
  <c r="D76" i="4"/>
  <c r="C76" i="4"/>
  <c r="B76" i="4"/>
  <c r="D75" i="4"/>
  <c r="B75" i="4"/>
  <c r="C75" i="4" s="1"/>
  <c r="E74" i="4"/>
  <c r="D74" i="4"/>
  <c r="C74" i="4"/>
  <c r="B74" i="4"/>
  <c r="E73" i="4"/>
  <c r="D73" i="4"/>
  <c r="B73" i="4"/>
  <c r="C73" i="4" s="1"/>
  <c r="E72" i="4"/>
  <c r="D72" i="4"/>
  <c r="B72" i="4"/>
  <c r="C72" i="4" s="1"/>
  <c r="E71" i="4"/>
  <c r="D71" i="4"/>
  <c r="C71" i="4"/>
  <c r="B71" i="4"/>
  <c r="E70" i="4"/>
  <c r="D70" i="4"/>
  <c r="B70" i="4"/>
  <c r="C70" i="4" s="1"/>
  <c r="E69" i="4"/>
  <c r="D69" i="4"/>
  <c r="B69" i="4"/>
  <c r="C69" i="4" s="1"/>
  <c r="E68" i="4"/>
  <c r="D68" i="4"/>
  <c r="B68" i="4"/>
  <c r="C68" i="4" s="1"/>
  <c r="E67" i="4"/>
  <c r="D67" i="4"/>
  <c r="B67" i="4"/>
  <c r="C67" i="4" s="1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D62" i="4"/>
  <c r="B62" i="4"/>
  <c r="C62" i="4" s="1"/>
  <c r="D61" i="4"/>
  <c r="C61" i="4"/>
  <c r="B61" i="4"/>
  <c r="D60" i="4"/>
  <c r="B60" i="4"/>
  <c r="C60" i="4" s="1"/>
  <c r="D59" i="4"/>
  <c r="B59" i="4"/>
  <c r="C59" i="4" s="1"/>
  <c r="D58" i="4"/>
  <c r="C58" i="4"/>
  <c r="B58" i="4"/>
  <c r="E57" i="4"/>
  <c r="D57" i="4"/>
  <c r="B57" i="4"/>
  <c r="C57" i="4" s="1"/>
  <c r="D56" i="4"/>
  <c r="B56" i="4"/>
  <c r="C56" i="4" s="1"/>
  <c r="D55" i="4"/>
  <c r="C55" i="4"/>
  <c r="B55" i="4"/>
  <c r="D54" i="4"/>
  <c r="B54" i="4"/>
  <c r="C54" i="4" s="1"/>
  <c r="F53" i="4"/>
  <c r="D53" i="4"/>
  <c r="C53" i="4"/>
  <c r="B53" i="4"/>
  <c r="E52" i="4"/>
  <c r="D52" i="4"/>
  <c r="C52" i="4"/>
  <c r="B52" i="4"/>
  <c r="D51" i="4"/>
  <c r="B51" i="4"/>
  <c r="C51" i="4" s="1"/>
  <c r="D50" i="4"/>
  <c r="C50" i="4"/>
  <c r="B50" i="4"/>
  <c r="E49" i="4"/>
  <c r="D49" i="4"/>
  <c r="B49" i="4"/>
  <c r="C49" i="4" s="1"/>
  <c r="E48" i="4"/>
  <c r="D48" i="4"/>
  <c r="B48" i="4"/>
  <c r="C48" i="4" s="1"/>
  <c r="E47" i="4"/>
  <c r="D47" i="4"/>
  <c r="B47" i="4"/>
  <c r="C47" i="4" s="1"/>
  <c r="E46" i="4"/>
  <c r="D46" i="4"/>
  <c r="B46" i="4"/>
  <c r="C46" i="4" s="1"/>
  <c r="E45" i="4"/>
  <c r="D45" i="4"/>
  <c r="B45" i="4"/>
  <c r="C45" i="4" s="1"/>
  <c r="E44" i="4"/>
  <c r="D44" i="4"/>
  <c r="B44" i="4"/>
  <c r="C44" i="4" s="1"/>
  <c r="F43" i="4"/>
  <c r="E43" i="4"/>
  <c r="D43" i="4"/>
  <c r="B43" i="4"/>
  <c r="C43" i="4" s="1"/>
  <c r="E42" i="4"/>
  <c r="D42" i="4"/>
  <c r="B42" i="4"/>
  <c r="C42" i="4" s="1"/>
  <c r="E41" i="4"/>
  <c r="D41" i="4"/>
  <c r="B41" i="4"/>
  <c r="C41" i="4" s="1"/>
  <c r="E40" i="4"/>
  <c r="D40" i="4"/>
  <c r="B40" i="4"/>
  <c r="C40" i="4" s="1"/>
  <c r="F39" i="4"/>
  <c r="E39" i="4"/>
  <c r="D39" i="4"/>
  <c r="C39" i="4"/>
  <c r="B39" i="4"/>
  <c r="S38" i="4"/>
  <c r="E38" i="4"/>
  <c r="D38" i="4"/>
  <c r="B38" i="4"/>
  <c r="C38" i="4" s="1"/>
  <c r="S37" i="4"/>
  <c r="F37" i="4"/>
  <c r="E37" i="4"/>
  <c r="D37" i="4"/>
  <c r="C37" i="4"/>
  <c r="P41" i="4" s="1"/>
  <c r="B37" i="4"/>
  <c r="N8" i="4"/>
  <c r="H8" i="4"/>
  <c r="N7" i="4"/>
  <c r="E35" i="2"/>
  <c r="B35" i="2"/>
  <c r="F35" i="2" s="1"/>
  <c r="H35" i="2" s="1"/>
  <c r="C34" i="2"/>
  <c r="F34" i="2" s="1"/>
  <c r="H34" i="2" s="1"/>
  <c r="G33" i="2"/>
  <c r="F33" i="2"/>
  <c r="H33" i="2" s="1"/>
  <c r="F32" i="2"/>
  <c r="H32" i="2" s="1"/>
  <c r="E32" i="2"/>
  <c r="B32" i="2"/>
  <c r="E31" i="2"/>
  <c r="B31" i="2"/>
  <c r="F31" i="2" s="1"/>
  <c r="H31" i="2" s="1"/>
  <c r="F30" i="2"/>
  <c r="H30" i="2" s="1"/>
  <c r="F29" i="2"/>
  <c r="H29" i="2" s="1"/>
  <c r="F28" i="2"/>
  <c r="H28" i="2" s="1"/>
  <c r="H27" i="2"/>
  <c r="F27" i="2"/>
  <c r="C26" i="2"/>
  <c r="B26" i="2"/>
  <c r="F26" i="2" s="1"/>
  <c r="H26" i="2" s="1"/>
  <c r="H25" i="2"/>
  <c r="F25" i="2"/>
  <c r="F24" i="2"/>
  <c r="H24" i="2" s="1"/>
  <c r="F23" i="2"/>
  <c r="H23" i="2" s="1"/>
  <c r="F22" i="2"/>
  <c r="H22" i="2" s="1"/>
  <c r="G21" i="2"/>
  <c r="F21" i="2"/>
  <c r="H21" i="2" s="1"/>
  <c r="G20" i="2"/>
  <c r="F20" i="2"/>
  <c r="H20" i="2" s="1"/>
  <c r="G19" i="2"/>
  <c r="F19" i="2"/>
  <c r="H19" i="2" s="1"/>
  <c r="G18" i="2"/>
  <c r="H18" i="2" s="1"/>
  <c r="F18" i="2"/>
  <c r="G17" i="2"/>
  <c r="F17" i="2"/>
  <c r="H17" i="2" s="1"/>
  <c r="G16" i="2"/>
  <c r="F16" i="2"/>
  <c r="H16" i="2" s="1"/>
  <c r="F15" i="2"/>
  <c r="H15" i="2" s="1"/>
  <c r="G14" i="2"/>
  <c r="F14" i="2"/>
  <c r="H14" i="2" s="1"/>
  <c r="E13" i="2"/>
  <c r="B13" i="2"/>
  <c r="F13" i="2" s="1"/>
  <c r="H13" i="2" s="1"/>
  <c r="F12" i="2"/>
  <c r="H12" i="2" s="1"/>
  <c r="H11" i="2"/>
  <c r="F11" i="2"/>
  <c r="F10" i="2"/>
  <c r="H10" i="2" s="1"/>
  <c r="F9" i="2"/>
  <c r="H9" i="2" s="1"/>
  <c r="E9" i="2"/>
  <c r="F8" i="2"/>
  <c r="H8" i="2" s="1"/>
  <c r="G7" i="2"/>
  <c r="F7" i="2"/>
  <c r="H7" i="2" s="1"/>
  <c r="F6" i="2"/>
  <c r="H6" i="2" s="1"/>
  <c r="H5" i="2"/>
  <c r="F5" i="2"/>
  <c r="H4" i="2"/>
  <c r="F4" i="2"/>
  <c r="H3" i="2"/>
  <c r="F3" i="2"/>
  <c r="F2" i="2"/>
  <c r="H2" i="2" s="1"/>
  <c r="E148" i="1"/>
  <c r="E149" i="1" s="1"/>
  <c r="B8" i="4" s="1"/>
  <c r="D148" i="1"/>
  <c r="D147" i="1"/>
  <c r="E146" i="1"/>
  <c r="E143" i="1"/>
  <c r="B143" i="1"/>
  <c r="F143" i="1" s="1"/>
  <c r="H143" i="1" s="1"/>
  <c r="F142" i="1"/>
  <c r="H142" i="1" s="1"/>
  <c r="E141" i="1"/>
  <c r="F141" i="1" s="1"/>
  <c r="H141" i="1" s="1"/>
  <c r="E140" i="1"/>
  <c r="B140" i="1"/>
  <c r="F140" i="1" s="1"/>
  <c r="H140" i="1" s="1"/>
  <c r="H139" i="1"/>
  <c r="G139" i="1"/>
  <c r="F139" i="1"/>
  <c r="E138" i="1"/>
  <c r="F138" i="1" s="1"/>
  <c r="H138" i="1" s="1"/>
  <c r="C137" i="1"/>
  <c r="F137" i="1" s="1"/>
  <c r="H137" i="1" s="1"/>
  <c r="G136" i="1"/>
  <c r="F136" i="1"/>
  <c r="H136" i="1" s="1"/>
  <c r="G135" i="1"/>
  <c r="F135" i="1"/>
  <c r="H135" i="1" s="1"/>
  <c r="F134" i="1"/>
  <c r="H134" i="1" s="1"/>
  <c r="E133" i="1"/>
  <c r="B133" i="1"/>
  <c r="F133" i="1" s="1"/>
  <c r="H133" i="1" s="1"/>
  <c r="F132" i="1"/>
  <c r="H132" i="1" s="1"/>
  <c r="F131" i="1"/>
  <c r="H131" i="1" s="1"/>
  <c r="E130" i="1"/>
  <c r="B130" i="1"/>
  <c r="F130" i="1" s="1"/>
  <c r="H130" i="1" s="1"/>
  <c r="F129" i="1"/>
  <c r="H129" i="1" s="1"/>
  <c r="F128" i="1"/>
  <c r="H128" i="1" s="1"/>
  <c r="F127" i="1"/>
  <c r="H127" i="1" s="1"/>
  <c r="H126" i="1"/>
  <c r="F126" i="1"/>
  <c r="F125" i="1"/>
  <c r="H125" i="1" s="1"/>
  <c r="F124" i="1"/>
  <c r="H124" i="1" s="1"/>
  <c r="G123" i="1"/>
  <c r="F123" i="1"/>
  <c r="H123" i="1" s="1"/>
  <c r="H122" i="1"/>
  <c r="F122" i="1"/>
  <c r="C121" i="1"/>
  <c r="F121" i="1" s="1"/>
  <c r="H121" i="1" s="1"/>
  <c r="B121" i="1"/>
  <c r="F120" i="1"/>
  <c r="H120" i="1" s="1"/>
  <c r="F119" i="1"/>
  <c r="H119" i="1" s="1"/>
  <c r="H118" i="1"/>
  <c r="F118" i="1"/>
  <c r="G117" i="1"/>
  <c r="F117" i="1"/>
  <c r="H117" i="1" s="1"/>
  <c r="H116" i="1"/>
  <c r="F116" i="1"/>
  <c r="G115" i="1"/>
  <c r="F115" i="1"/>
  <c r="H115" i="1" s="1"/>
  <c r="G114" i="1"/>
  <c r="F114" i="1"/>
  <c r="H114" i="1" s="1"/>
  <c r="F113" i="1"/>
  <c r="H113" i="1" s="1"/>
  <c r="E113" i="1"/>
  <c r="H112" i="1"/>
  <c r="F112" i="1"/>
  <c r="H111" i="1"/>
  <c r="F111" i="1"/>
  <c r="G110" i="1"/>
  <c r="F110" i="1"/>
  <c r="H110" i="1" s="1"/>
  <c r="G109" i="1"/>
  <c r="H109" i="1" s="1"/>
  <c r="F109" i="1"/>
  <c r="G108" i="1"/>
  <c r="F108" i="1"/>
  <c r="H108" i="1" s="1"/>
  <c r="H107" i="1"/>
  <c r="G107" i="1"/>
  <c r="F107" i="1"/>
  <c r="G106" i="1"/>
  <c r="F106" i="1"/>
  <c r="H106" i="1" s="1"/>
  <c r="G105" i="1"/>
  <c r="F105" i="1"/>
  <c r="H105" i="1" s="1"/>
  <c r="G104" i="1"/>
  <c r="F104" i="1"/>
  <c r="H104" i="1" s="1"/>
  <c r="G103" i="1"/>
  <c r="H103" i="1" s="1"/>
  <c r="F103" i="1"/>
  <c r="G102" i="1"/>
  <c r="F102" i="1"/>
  <c r="H102" i="1" s="1"/>
  <c r="G101" i="1"/>
  <c r="H101" i="1" s="1"/>
  <c r="F101" i="1"/>
  <c r="G100" i="1"/>
  <c r="F100" i="1"/>
  <c r="H100" i="1" s="1"/>
  <c r="H99" i="1"/>
  <c r="G99" i="1"/>
  <c r="F99" i="1"/>
  <c r="G98" i="1"/>
  <c r="F98" i="1"/>
  <c r="H98" i="1" s="1"/>
  <c r="G97" i="1"/>
  <c r="F97" i="1"/>
  <c r="H97" i="1" s="1"/>
  <c r="G96" i="1"/>
  <c r="F96" i="1"/>
  <c r="H96" i="1" s="1"/>
  <c r="G95" i="1"/>
  <c r="H95" i="1" s="1"/>
  <c r="F95" i="1"/>
  <c r="G94" i="1"/>
  <c r="F94" i="1"/>
  <c r="H94" i="1" s="1"/>
  <c r="G93" i="1"/>
  <c r="H93" i="1" s="1"/>
  <c r="F93" i="1"/>
  <c r="G92" i="1"/>
  <c r="F92" i="1"/>
  <c r="H92" i="1" s="1"/>
  <c r="H91" i="1"/>
  <c r="G91" i="1"/>
  <c r="F91" i="1"/>
  <c r="G90" i="1"/>
  <c r="F90" i="1"/>
  <c r="H90" i="1" s="1"/>
  <c r="G89" i="1"/>
  <c r="F89" i="1"/>
  <c r="H89" i="1" s="1"/>
  <c r="G88" i="1"/>
  <c r="F88" i="1"/>
  <c r="H88" i="1" s="1"/>
  <c r="G87" i="1"/>
  <c r="H87" i="1" s="1"/>
  <c r="F87" i="1"/>
  <c r="G86" i="1"/>
  <c r="F86" i="1"/>
  <c r="H86" i="1" s="1"/>
  <c r="F85" i="1"/>
  <c r="H85" i="1" s="1"/>
  <c r="G84" i="1"/>
  <c r="F84" i="1"/>
  <c r="H84" i="1" s="1"/>
  <c r="G83" i="1"/>
  <c r="H83" i="1" s="1"/>
  <c r="F83" i="1"/>
  <c r="G82" i="1"/>
  <c r="F82" i="1"/>
  <c r="H82" i="1" s="1"/>
  <c r="G81" i="1"/>
  <c r="F81" i="1"/>
  <c r="H81" i="1" s="1"/>
  <c r="G80" i="1"/>
  <c r="H80" i="1" s="1"/>
  <c r="F80" i="1"/>
  <c r="H79" i="1"/>
  <c r="F79" i="1"/>
  <c r="H78" i="1"/>
  <c r="G78" i="1"/>
  <c r="F78" i="1"/>
  <c r="G77" i="1"/>
  <c r="F77" i="1"/>
  <c r="H77" i="1" s="1"/>
  <c r="H76" i="1"/>
  <c r="G76" i="1"/>
  <c r="F76" i="1"/>
  <c r="G75" i="1"/>
  <c r="F75" i="1"/>
  <c r="H75" i="1" s="1"/>
  <c r="G74" i="1"/>
  <c r="F74" i="1"/>
  <c r="H74" i="1" s="1"/>
  <c r="G73" i="1"/>
  <c r="F73" i="1"/>
  <c r="H73" i="1" s="1"/>
  <c r="F72" i="1"/>
  <c r="H72" i="1" s="1"/>
  <c r="H71" i="1"/>
  <c r="F71" i="1"/>
  <c r="E70" i="1"/>
  <c r="F70" i="1" s="1"/>
  <c r="H70" i="1" s="1"/>
  <c r="B70" i="1"/>
  <c r="F69" i="1"/>
  <c r="H69" i="1" s="1"/>
  <c r="F68" i="1"/>
  <c r="H68" i="1" s="1"/>
  <c r="H67" i="1"/>
  <c r="F67" i="1"/>
  <c r="F66" i="1"/>
  <c r="H66" i="1" s="1"/>
  <c r="F65" i="1"/>
  <c r="H65" i="1" s="1"/>
  <c r="F64" i="1"/>
  <c r="H64" i="1" s="1"/>
  <c r="H63" i="1"/>
  <c r="F63" i="1"/>
  <c r="F62" i="1"/>
  <c r="H62" i="1" s="1"/>
  <c r="F61" i="1"/>
  <c r="H61" i="1" s="1"/>
  <c r="E60" i="1"/>
  <c r="F60" i="1" s="1"/>
  <c r="H60" i="1" s="1"/>
  <c r="F59" i="1"/>
  <c r="H59" i="1" s="1"/>
  <c r="F58" i="1"/>
  <c r="H58" i="1" s="1"/>
  <c r="E57" i="1"/>
  <c r="F57" i="1" s="1"/>
  <c r="H57" i="1" s="1"/>
  <c r="H56" i="1"/>
  <c r="F56" i="1"/>
  <c r="F55" i="1"/>
  <c r="H55" i="1" s="1"/>
  <c r="F54" i="1"/>
  <c r="H54" i="1" s="1"/>
  <c r="F53" i="1"/>
  <c r="H53" i="1" s="1"/>
  <c r="H52" i="1"/>
  <c r="F52" i="1"/>
  <c r="F51" i="1"/>
  <c r="H51" i="1" s="1"/>
  <c r="F50" i="1"/>
  <c r="H50" i="1" s="1"/>
  <c r="H49" i="1"/>
  <c r="F49" i="1"/>
  <c r="H48" i="1"/>
  <c r="F48" i="1"/>
  <c r="H47" i="1"/>
  <c r="F47" i="1"/>
  <c r="F46" i="1"/>
  <c r="H46" i="1" s="1"/>
  <c r="F45" i="1"/>
  <c r="H45" i="1" s="1"/>
  <c r="H44" i="1"/>
  <c r="G44" i="1"/>
  <c r="F44" i="1"/>
  <c r="F43" i="1"/>
  <c r="H43" i="1" s="1"/>
  <c r="H42" i="1"/>
  <c r="F42" i="1"/>
  <c r="F41" i="1"/>
  <c r="H41" i="1" s="1"/>
  <c r="F40" i="1"/>
  <c r="H40" i="1" s="1"/>
  <c r="H39" i="1"/>
  <c r="F39" i="1"/>
  <c r="F38" i="1"/>
  <c r="H38" i="1" s="1"/>
  <c r="F37" i="1"/>
  <c r="H37" i="1" s="1"/>
  <c r="F36" i="1"/>
  <c r="H36" i="1" s="1"/>
  <c r="F35" i="1"/>
  <c r="H35" i="1" s="1"/>
  <c r="F34" i="1"/>
  <c r="H34" i="1" s="1"/>
  <c r="G33" i="1"/>
  <c r="H33" i="1" s="1"/>
  <c r="F33" i="1"/>
  <c r="F32" i="1"/>
  <c r="H32" i="1" s="1"/>
  <c r="F31" i="1"/>
  <c r="H31" i="1" s="1"/>
  <c r="G30" i="1"/>
  <c r="F30" i="1"/>
  <c r="H30" i="1" s="1"/>
  <c r="F29" i="1"/>
  <c r="H29" i="1" s="1"/>
  <c r="H28" i="1"/>
  <c r="F28" i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H19" i="1"/>
  <c r="F19" i="1"/>
  <c r="F18" i="1"/>
  <c r="H18" i="1" s="1"/>
  <c r="F17" i="1"/>
  <c r="H17" i="1" s="1"/>
  <c r="H16" i="1"/>
  <c r="F16" i="1"/>
  <c r="F15" i="1"/>
  <c r="H15" i="1" s="1"/>
  <c r="F14" i="1"/>
  <c r="H14" i="1" s="1"/>
  <c r="F13" i="1"/>
  <c r="H13" i="1" s="1"/>
  <c r="G12" i="1"/>
  <c r="F12" i="1"/>
  <c r="H12" i="1" s="1"/>
  <c r="F11" i="1"/>
  <c r="H11" i="1" s="1"/>
  <c r="H10" i="1"/>
  <c r="F10" i="1"/>
  <c r="F9" i="1"/>
  <c r="H9" i="1" s="1"/>
  <c r="F8" i="1"/>
  <c r="H8" i="1" s="1"/>
  <c r="F7" i="1"/>
  <c r="H7" i="1" s="1"/>
  <c r="H6" i="1"/>
  <c r="F6" i="1"/>
  <c r="F5" i="1"/>
  <c r="H5" i="1" s="1"/>
  <c r="F4" i="1"/>
  <c r="H4" i="1" s="1"/>
  <c r="H3" i="1"/>
  <c r="F3" i="1"/>
  <c r="D44" i="3"/>
  <c r="F78" i="4" s="1"/>
  <c r="D43" i="3"/>
  <c r="F77" i="4" s="1"/>
  <c r="C42" i="3"/>
  <c r="D42" i="3" s="1"/>
  <c r="F76" i="4" s="1"/>
  <c r="C41" i="3"/>
  <c r="D41" i="3" s="1"/>
  <c r="F75" i="4" s="1"/>
  <c r="D40" i="3"/>
  <c r="F74" i="4" s="1"/>
  <c r="D39" i="3"/>
  <c r="F73" i="4" s="1"/>
  <c r="D38" i="3"/>
  <c r="F72" i="4" s="1"/>
  <c r="D37" i="3"/>
  <c r="F71" i="4" s="1"/>
  <c r="D36" i="3"/>
  <c r="F70" i="4" s="1"/>
  <c r="D35" i="3"/>
  <c r="F69" i="4" s="1"/>
  <c r="D34" i="3"/>
  <c r="F68" i="4" s="1"/>
  <c r="D33" i="3"/>
  <c r="F67" i="4" s="1"/>
  <c r="D32" i="3"/>
  <c r="F66" i="4" s="1"/>
  <c r="D31" i="3"/>
  <c r="F65" i="4" s="1"/>
  <c r="D30" i="3"/>
  <c r="F64" i="4" s="1"/>
  <c r="D29" i="3"/>
  <c r="F63" i="4" s="1"/>
  <c r="D28" i="3"/>
  <c r="F62" i="4" s="1"/>
  <c r="C28" i="3"/>
  <c r="E62" i="4" s="1"/>
  <c r="C27" i="3"/>
  <c r="D27" i="3" s="1"/>
  <c r="F61" i="4" s="1"/>
  <c r="C26" i="3"/>
  <c r="D26" i="3" s="1"/>
  <c r="F60" i="4" s="1"/>
  <c r="C25" i="3"/>
  <c r="D25" i="3" s="1"/>
  <c r="F59" i="4" s="1"/>
  <c r="C24" i="3"/>
  <c r="D24" i="3" s="1"/>
  <c r="F58" i="4" s="1"/>
  <c r="C23" i="3"/>
  <c r="D23" i="3" s="1"/>
  <c r="F57" i="4" s="1"/>
  <c r="C22" i="3"/>
  <c r="E56" i="4" s="1"/>
  <c r="C21" i="3"/>
  <c r="E55" i="4" s="1"/>
  <c r="C20" i="3"/>
  <c r="D20" i="3" s="1"/>
  <c r="F54" i="4" s="1"/>
  <c r="D19" i="3"/>
  <c r="C19" i="3"/>
  <c r="E53" i="4" s="1"/>
  <c r="D18" i="3"/>
  <c r="F52" i="4" s="1"/>
  <c r="D17" i="3"/>
  <c r="F51" i="4" s="1"/>
  <c r="C17" i="3"/>
  <c r="E51" i="4" s="1"/>
  <c r="C16" i="3"/>
  <c r="E50" i="4" s="1"/>
  <c r="C15" i="3"/>
  <c r="D15" i="3" s="1"/>
  <c r="F49" i="4" s="1"/>
  <c r="D14" i="3"/>
  <c r="F48" i="4" s="1"/>
  <c r="D13" i="3"/>
  <c r="F47" i="4" s="1"/>
  <c r="D12" i="3"/>
  <c r="F46" i="4" s="1"/>
  <c r="D11" i="3"/>
  <c r="F45" i="4" s="1"/>
  <c r="D10" i="3"/>
  <c r="F44" i="4" s="1"/>
  <c r="D9" i="3"/>
  <c r="D8" i="3"/>
  <c r="F42" i="4" s="1"/>
  <c r="D7" i="3"/>
  <c r="F41" i="4" s="1"/>
  <c r="D6" i="3"/>
  <c r="F40" i="4" s="1"/>
  <c r="D5" i="3"/>
  <c r="D4" i="3"/>
  <c r="F38" i="4" s="1"/>
  <c r="D3" i="3"/>
  <c r="J11" i="8" l="1"/>
  <c r="C15" i="8" s="1"/>
  <c r="J15" i="8" s="1"/>
  <c r="F79" i="4"/>
  <c r="G41" i="4" s="1"/>
  <c r="J67" i="4"/>
  <c r="J68" i="4"/>
  <c r="J69" i="4"/>
  <c r="G69" i="4"/>
  <c r="J64" i="4"/>
  <c r="J49" i="4"/>
  <c r="G49" i="4"/>
  <c r="J13" i="9"/>
  <c r="C13" i="9"/>
  <c r="J52" i="4"/>
  <c r="J41" i="4"/>
  <c r="J47" i="4"/>
  <c r="G47" i="4"/>
  <c r="G48" i="4"/>
  <c r="J48" i="4"/>
  <c r="J60" i="4"/>
  <c r="G60" i="4"/>
  <c r="J45" i="4"/>
  <c r="G45" i="4"/>
  <c r="J13" i="5"/>
  <c r="C13" i="5"/>
  <c r="H36" i="2"/>
  <c r="J76" i="4"/>
  <c r="J54" i="4"/>
  <c r="J77" i="4"/>
  <c r="G77" i="4"/>
  <c r="J78" i="4"/>
  <c r="J38" i="4"/>
  <c r="G38" i="4"/>
  <c r="J42" i="4"/>
  <c r="H144" i="1"/>
  <c r="J10" i="7"/>
  <c r="D16" i="3"/>
  <c r="F50" i="4" s="1"/>
  <c r="J61" i="4" s="1"/>
  <c r="J37" i="4"/>
  <c r="E54" i="4"/>
  <c r="D45" i="3"/>
  <c r="E60" i="4"/>
  <c r="P39" i="4"/>
  <c r="P37" i="4"/>
  <c r="P44" i="4"/>
  <c r="E61" i="4"/>
  <c r="E75" i="4"/>
  <c r="P43" i="4"/>
  <c r="E58" i="4"/>
  <c r="P42" i="4"/>
  <c r="D21" i="3"/>
  <c r="F55" i="4" s="1"/>
  <c r="E76" i="4"/>
  <c r="D22" i="3"/>
  <c r="F56" i="4" s="1"/>
  <c r="P40" i="4"/>
  <c r="E59" i="4"/>
  <c r="P38" i="4"/>
  <c r="G42" i="4" l="1"/>
  <c r="G78" i="4"/>
  <c r="G64" i="4"/>
  <c r="G54" i="4"/>
  <c r="G68" i="4"/>
  <c r="G67" i="4"/>
  <c r="G76" i="4"/>
  <c r="G75" i="4"/>
  <c r="J14" i="7"/>
  <c r="C14" i="7"/>
  <c r="G65" i="4"/>
  <c r="J44" i="4"/>
  <c r="G73" i="4"/>
  <c r="G63" i="4"/>
  <c r="G37" i="4"/>
  <c r="J66" i="4"/>
  <c r="J50" i="4"/>
  <c r="G50" i="4"/>
  <c r="J65" i="4"/>
  <c r="G74" i="4"/>
  <c r="G44" i="4"/>
  <c r="G58" i="4"/>
  <c r="G62" i="4"/>
  <c r="J40" i="4"/>
  <c r="J56" i="4"/>
  <c r="G56" i="4"/>
  <c r="G57" i="4"/>
  <c r="G71" i="4"/>
  <c r="G51" i="4"/>
  <c r="G61" i="4"/>
  <c r="K8" i="4"/>
  <c r="Q7" i="4"/>
  <c r="K7" i="4"/>
  <c r="H7" i="4"/>
  <c r="E8" i="4"/>
  <c r="Q8" i="4"/>
  <c r="E7" i="4"/>
  <c r="H146" i="1"/>
  <c r="B7" i="4"/>
  <c r="G39" i="4"/>
  <c r="J71" i="4"/>
  <c r="J51" i="4"/>
  <c r="J43" i="4"/>
  <c r="G53" i="4"/>
  <c r="J75" i="4"/>
  <c r="J53" i="4"/>
  <c r="J62" i="4"/>
  <c r="J74" i="4"/>
  <c r="J58" i="4"/>
  <c r="G40" i="4"/>
  <c r="J73" i="4"/>
  <c r="J63" i="4"/>
  <c r="G43" i="4"/>
  <c r="J72" i="4"/>
  <c r="J57" i="4"/>
  <c r="G72" i="4"/>
  <c r="J39" i="4"/>
  <c r="M40" i="4" s="1"/>
  <c r="G46" i="4"/>
  <c r="G70" i="4"/>
  <c r="G59" i="4"/>
  <c r="G52" i="4"/>
  <c r="G66" i="4"/>
  <c r="J55" i="4"/>
  <c r="G55" i="4"/>
  <c r="J46" i="4"/>
  <c r="J70" i="4"/>
  <c r="J59" i="4"/>
  <c r="L46" i="4" l="1"/>
  <c r="M37" i="4"/>
  <c r="M42" i="4"/>
  <c r="L45" i="4"/>
  <c r="L38" i="4"/>
  <c r="M39" i="4"/>
  <c r="L37" i="4"/>
  <c r="L39" i="4"/>
  <c r="L42" i="4"/>
  <c r="L43" i="4"/>
  <c r="L41" i="4"/>
  <c r="L44" i="4"/>
  <c r="M38" i="4"/>
  <c r="M45" i="4"/>
  <c r="M43" i="4"/>
  <c r="M46" i="4"/>
  <c r="M41" i="4"/>
  <c r="L40" i="4"/>
  <c r="M44" i="4"/>
</calcChain>
</file>

<file path=xl/sharedStrings.xml><?xml version="1.0" encoding="utf-8"?>
<sst xmlns="http://schemas.openxmlformats.org/spreadsheetml/2006/main" count="528" uniqueCount="229">
  <si>
    <t>CONTAGEM CAFÉ DA MANHÃ</t>
  </si>
  <si>
    <t>ITEM</t>
  </si>
  <si>
    <t>PESO INICIAL</t>
  </si>
  <si>
    <t>REPOSIÇÃO</t>
  </si>
  <si>
    <t>DESPERDICIO</t>
  </si>
  <si>
    <t>VOLTA</t>
  </si>
  <si>
    <t>CONSUMO</t>
  </si>
  <si>
    <t>PREÇO KG</t>
  </si>
  <si>
    <t>VALOR REAL</t>
  </si>
  <si>
    <t>ABACAXI</t>
  </si>
  <si>
    <t>AÇUCAR</t>
  </si>
  <si>
    <t>AÇUCAR MASKAVO</t>
  </si>
  <si>
    <t>AÇUCAR ORGANICO</t>
  </si>
  <si>
    <t>ADOCANTE</t>
  </si>
  <si>
    <t>AGUA</t>
  </si>
  <si>
    <t>AGUA COM GAS</t>
  </si>
  <si>
    <t>AGUA SABORIZADA</t>
  </si>
  <si>
    <t>AMEIXA</t>
  </si>
  <si>
    <t>AVEIA</t>
  </si>
  <si>
    <t>BAGUETE</t>
  </si>
  <si>
    <t>BAGUETE MULTI</t>
  </si>
  <si>
    <t>BAGUETE PARMESAO</t>
  </si>
  <si>
    <t>BATATA BOLINHA</t>
  </si>
  <si>
    <t>BATATA DOCE</t>
  </si>
  <si>
    <t>BOLO</t>
  </si>
  <si>
    <t>BOLO COM COBERTURA</t>
  </si>
  <si>
    <t>BOLO SEM GLUTEN</t>
  </si>
  <si>
    <t>CAFÉ COADO</t>
  </si>
  <si>
    <t>CAFÉ MAQUINA</t>
  </si>
  <si>
    <t>CAJU</t>
  </si>
  <si>
    <t>CALABRESA</t>
  </si>
  <si>
    <t>CANELA</t>
  </si>
  <si>
    <t>CAPUCCINO MAQUINA</t>
  </si>
  <si>
    <t>CAROLINA DOCE DE LEITE</t>
  </si>
  <si>
    <t>CHA DE CAPIM CIDREIRA</t>
  </si>
  <si>
    <t>CHA DE HORTELA</t>
  </si>
  <si>
    <t>CHA DE CAMOMILA</t>
  </si>
  <si>
    <t>CHA DE MORANGO</t>
  </si>
  <si>
    <t>CHA GELADO</t>
  </si>
  <si>
    <t>CHA MATE</t>
  </si>
  <si>
    <t>CHIA</t>
  </si>
  <si>
    <t>CHOCOLATE</t>
  </si>
  <si>
    <t>CHOCOLATE CEREAL</t>
  </si>
  <si>
    <t>CHURROS</t>
  </si>
  <si>
    <t>CHOCOLATE EM PO</t>
  </si>
  <si>
    <t>COMPOTA DE FIGO</t>
  </si>
  <si>
    <t>COMPOTA DE MARACUJA</t>
  </si>
  <si>
    <t>CREAM CHESSE</t>
  </si>
  <si>
    <t>CROASSAINT</t>
  </si>
  <si>
    <t>CROASSAINT CATUPIRY</t>
  </si>
  <si>
    <t>SUCO DETOX</t>
  </si>
  <si>
    <t>DONUTS</t>
  </si>
  <si>
    <t>ENROLADO SALCICHA</t>
  </si>
  <si>
    <t>ESFIHA</t>
  </si>
  <si>
    <t>FOLHADO CALABRESA</t>
  </si>
  <si>
    <t>GANACHE</t>
  </si>
  <si>
    <t>GELEIA GOIABA</t>
  </si>
  <si>
    <t>GELIA MORANGO</t>
  </si>
  <si>
    <t>GRANOLA</t>
  </si>
  <si>
    <t>IOGURTE DESNATADO</t>
  </si>
  <si>
    <t>IOGURTE NATURAL</t>
  </si>
  <si>
    <t>IOGURTE DE MORANGO</t>
  </si>
  <si>
    <t>LEITE DESNATADO</t>
  </si>
  <si>
    <t>LEITE INTEGRAL</t>
  </si>
  <si>
    <t>LEITE SEM LACTOSE</t>
  </si>
  <si>
    <t>LEITE SOJA</t>
  </si>
  <si>
    <t>LINHAÇA</t>
  </si>
  <si>
    <t>MAÇA VERDE</t>
  </si>
  <si>
    <t>MAÇA VERMELHA</t>
  </si>
  <si>
    <t>MAMAO</t>
  </si>
  <si>
    <t>MANTEIGA COM SAL</t>
  </si>
  <si>
    <t>MANTEIGA SEM SAL</t>
  </si>
  <si>
    <t>MEL SACHET</t>
  </si>
  <si>
    <t>MELANCIA</t>
  </si>
  <si>
    <t>MELÃO</t>
  </si>
  <si>
    <t>MEXERICA</t>
  </si>
  <si>
    <t>MILHO</t>
  </si>
  <si>
    <t>MINI FRANCES</t>
  </si>
  <si>
    <t>MINI PÃO CENOURA</t>
  </si>
  <si>
    <t>MINI CAROLINA DE MARACUJA</t>
  </si>
  <si>
    <t>MINI ROSETA DE PARMESÃO</t>
  </si>
  <si>
    <t>MINI BISNAGA C/ CREME 30G</t>
  </si>
  <si>
    <t>MINI CIABATA SIMPLES</t>
  </si>
  <si>
    <t xml:space="preserve">MINI QUICHES DE ALHO PORRO </t>
  </si>
  <si>
    <t>MINI BISNAGA C/ COCO 30G</t>
  </si>
  <si>
    <t>BAGUETE SIMPLES 60CM</t>
  </si>
  <si>
    <t xml:space="preserve">MINI SONHO CREME </t>
  </si>
  <si>
    <t xml:space="preserve">MINI CROISSANT DE PRESUNTO E QUEIJO </t>
  </si>
  <si>
    <t>MINI BOLINHO DE CHUVA</t>
  </si>
  <si>
    <t xml:space="preserve">MINI CROISSANT DE CREME </t>
  </si>
  <si>
    <t>MINI SONHO DE DOCE DE LEITE</t>
  </si>
  <si>
    <t>BAGUETE PARMESÃO - 60CM</t>
  </si>
  <si>
    <t>MINI PÃO DE BATATA SIMPLES 30G</t>
  </si>
  <si>
    <t xml:space="preserve">MINI CROISANT DE CALABRESA </t>
  </si>
  <si>
    <t>MINI PÃO FRANCÊS 30G</t>
  </si>
  <si>
    <t xml:space="preserve">MINI CROISSANT DE CHOCOLATE </t>
  </si>
  <si>
    <t>MINI ROSETA DE AÇÚCAR</t>
  </si>
  <si>
    <t>MINI ROSETA DE LARANJA</t>
  </si>
  <si>
    <t>MINI PÃO FRANCÊS INTEGRAL 30G</t>
  </si>
  <si>
    <t>MINI PÃO DE BATATA C/ CALABRESA 30G</t>
  </si>
  <si>
    <t>MINI ROSETA DE COCO</t>
  </si>
  <si>
    <t>MINI BOMBA DE CREME</t>
  </si>
  <si>
    <t>MINI PÃO MULTIGRÃO RESONDO 30G</t>
  </si>
  <si>
    <t>MINI CARACOL C/ MAÇÃ</t>
  </si>
  <si>
    <t>MINI BOMBA DE CHOCOLATE</t>
  </si>
  <si>
    <t>MINI BOMBA DE DOCE DE LEITE</t>
  </si>
  <si>
    <t>MINI BRIOCHE SIMPLES</t>
  </si>
  <si>
    <t>MINI PÃO DE BETERRABA 30G</t>
  </si>
  <si>
    <t>MINI ROSETA DE GERGELIM</t>
  </si>
  <si>
    <t>MINI SONHO DE CHOCOLATE</t>
  </si>
  <si>
    <t>MINI PÃO DE MILHO REDONDO</t>
  </si>
  <si>
    <t>MINI CROISSANT SIMPLES</t>
  </si>
  <si>
    <t>MINI BOMBA DE LIMÃO</t>
  </si>
  <si>
    <t>MINI CROISSANT DE QUEIJO BRANCO</t>
  </si>
  <si>
    <t>MINI PÃO DE BATATA C/ PRESUNTO E QUEIJO</t>
  </si>
  <si>
    <t>MINI ROCAMBOLE DE GOIABADA</t>
  </si>
  <si>
    <t>MINI FOLHADO DE BANANA C/ CANELA</t>
  </si>
  <si>
    <t>MUSSARELA</t>
  </si>
  <si>
    <t>MIX DE SALADAS</t>
  </si>
  <si>
    <t>NOZES</t>
  </si>
  <si>
    <t>OMELETE QUEIJO MUSSARELA/TOMATE/</t>
  </si>
  <si>
    <t>OMELETE  QUEIJO MINAS/TOMATE/CEBOLA</t>
  </si>
  <si>
    <t>OVO MEXIDO</t>
  </si>
  <si>
    <t>OVO FRITO</t>
  </si>
  <si>
    <t>OVO COZIDO</t>
  </si>
  <si>
    <t>PAO DE BATATA FRANGO C CATU</t>
  </si>
  <si>
    <t>PÃO DE MEL</t>
  </si>
  <si>
    <t>PÃO DE QUEIJO</t>
  </si>
  <si>
    <t>PAO DE FORMA INTEGRAL</t>
  </si>
  <si>
    <t>PAO DE FORMA TRADICIONAL</t>
  </si>
  <si>
    <t>PÃO SEM GLUTEN</t>
  </si>
  <si>
    <t>PEITO DE PERU</t>
  </si>
  <si>
    <t>PERA</t>
  </si>
  <si>
    <t>PRESUNTO</t>
  </si>
  <si>
    <t>QUEIJO MINAS</t>
  </si>
  <si>
    <t>QUEIJO PRATO</t>
  </si>
  <si>
    <t>QUICHE</t>
  </si>
  <si>
    <t>SALADA DE FRUTAS</t>
  </si>
  <si>
    <t>SALADA DO DIA</t>
  </si>
  <si>
    <t>SALSICHA</t>
  </si>
  <si>
    <t>STRUDELL</t>
  </si>
  <si>
    <t>SUCO DE MELANCIA</t>
  </si>
  <si>
    <t>SUCO DE LARANJA COM MAMAO</t>
  </si>
  <si>
    <t>SUCO DE LARANJA</t>
  </si>
  <si>
    <t>SUCRILHOS</t>
  </si>
  <si>
    <t>TAPIOCA</t>
  </si>
  <si>
    <t>TOMATE ASSADO</t>
  </si>
  <si>
    <t>UVA PASSA</t>
  </si>
  <si>
    <t>VULCAO GOIABADA</t>
  </si>
  <si>
    <t>WAFFLES</t>
  </si>
  <si>
    <t>TOTAL</t>
  </si>
  <si>
    <t>CAFES INCLUSOS</t>
  </si>
  <si>
    <t>QTD</t>
  </si>
  <si>
    <t>PREÇO</t>
  </si>
  <si>
    <t>SOMA</t>
  </si>
  <si>
    <t>CUSTO</t>
  </si>
  <si>
    <t>PASSANTES</t>
  </si>
  <si>
    <t>LIXO</t>
  </si>
  <si>
    <t>DESCARTE</t>
  </si>
  <si>
    <t>RELATÓRIO OPERACIONAL · CAFÉ DA MANHÃ · COMPETÊNCIA MÊS 09 · VERSÃO FINAL</t>
  </si>
  <si>
    <t>CUSTO &amp; DESCARTE DO CAFÉ DA MANHÃ</t>
  </si>
  <si>
    <t>Custo total do período</t>
  </si>
  <si>
    <t>CMV (custo / receita CDM)</t>
  </si>
  <si>
    <t>Valor total descartado</t>
  </si>
  <si>
    <t>Descarte sobre o custo</t>
  </si>
  <si>
    <t>Pessoas atendidas</t>
  </si>
  <si>
    <t>Descarte por pessoa</t>
  </si>
  <si>
    <t>BASE DE APOIO DOS GRÁFICOS (fórmulas ligadas às abas CUSTO/DESCARTE — não altera os dados de origem)</t>
  </si>
  <si>
    <t>Item</t>
  </si>
  <si>
    <t>Categoria</t>
  </si>
  <si>
    <t>Qtd (kg)</t>
  </si>
  <si>
    <t>Preço/kg</t>
  </si>
  <si>
    <t>Valor (R$)</t>
  </si>
  <si>
    <t>% do total</t>
  </si>
  <si>
    <t>Item (lookup)</t>
  </si>
  <si>
    <t>Rank</t>
  </si>
  <si>
    <t>Top 10 · Item</t>
  </si>
  <si>
    <t>Origem</t>
  </si>
  <si>
    <t>Receita (R$)</t>
  </si>
  <si>
    <t>Frutas</t>
  </si>
  <si>
    <t>Padaria</t>
  </si>
  <si>
    <t>Hóspedes (café incluso)</t>
  </si>
  <si>
    <t>Proteínas</t>
  </si>
  <si>
    <t>Passantes (avulso)</t>
  </si>
  <si>
    <t>Bebidas</t>
  </si>
  <si>
    <t>Doces</t>
  </si>
  <si>
    <t>Laticínios</t>
  </si>
  <si>
    <t>Guarnições</t>
  </si>
  <si>
    <t>Outros</t>
  </si>
  <si>
    <t>BOLO BASE</t>
  </si>
  <si>
    <t xml:space="preserve">Número de porções: </t>
  </si>
  <si>
    <t>Código Receita Nº</t>
  </si>
  <si>
    <t>Cód. SAP</t>
  </si>
  <si>
    <t>Ingrediente</t>
  </si>
  <si>
    <t>Peso</t>
  </si>
  <si>
    <t>Und</t>
  </si>
  <si>
    <t>Custo Bruto</t>
  </si>
  <si>
    <t>Rendimento</t>
  </si>
  <si>
    <t>Preço Líquido</t>
  </si>
  <si>
    <t>Custo Total</t>
  </si>
  <si>
    <t>OVOS</t>
  </si>
  <si>
    <t>OLEO</t>
  </si>
  <si>
    <t>LEITE</t>
  </si>
  <si>
    <t>ESSENCIA DE BAUNILHA</t>
  </si>
  <si>
    <t>Custo Líquido</t>
  </si>
  <si>
    <t>Análise de preço de venda estimado</t>
  </si>
  <si>
    <t>Análise de Custo</t>
  </si>
  <si>
    <t>Custos</t>
  </si>
  <si>
    <t>% Margem</t>
  </si>
  <si>
    <t>Preço CUSTO</t>
  </si>
  <si>
    <t>R$</t>
  </si>
  <si>
    <t>%</t>
  </si>
  <si>
    <t>COBERTURA DE CHOCOLATE</t>
  </si>
  <si>
    <t>CREME DE LEITE</t>
  </si>
  <si>
    <t>FARINHA DE TRIGO</t>
  </si>
  <si>
    <t>MARGARINA</t>
  </si>
  <si>
    <t>OVO</t>
  </si>
  <si>
    <t>AGUA GELADA</t>
  </si>
  <si>
    <t>SAL</t>
  </si>
  <si>
    <t>PREÇO CUSTO</t>
  </si>
  <si>
    <t>PANQUECA</t>
  </si>
  <si>
    <t>TRIGO</t>
  </si>
  <si>
    <t>ESSENCIA BAUNILHA</t>
  </si>
  <si>
    <t>FERMENTO EM PÓ</t>
  </si>
  <si>
    <t>Preço CUSTO UNITARIO</t>
  </si>
  <si>
    <t>SUCO VERDE</t>
  </si>
  <si>
    <t>COUVE</t>
  </si>
  <si>
    <t>GENGIBRE</t>
  </si>
  <si>
    <t>HORTELÃ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</si>
</sst>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\-??_);_(@_)"/>
    <numFmt numFmtId="165" formatCode="_-&quot;R$ &quot;* #,##0.00_-;&quot;-R$ &quot;* #,##0.00_-;_-&quot;R$ &quot;* \-??_-;_-@_-"/>
    <numFmt numFmtId="166" formatCode="&quot;R$ &quot;#,##0.00;[Red]&quot;-R$ &quot;#,##0.00"/>
    <numFmt numFmtId="167" formatCode="&quot;R$ &quot;#,##0.00"/>
    <numFmt numFmtId="168" formatCode="0.0%"/>
    <numFmt numFmtId="169" formatCode="0.000"/>
    <numFmt numFmtId="170" formatCode="_(&quot;R$ &quot;* #,##0.00_);_(&quot;R$ &quot;* \(#,##0.00\);_(&quot;R$ &quot;* \-??_);_(@_)"/>
    <numFmt numFmtId="171" formatCode="_-* #,##0.00_-;\-* #,##0.00_-;_-* \-??_-;_-@_-"/>
    <numFmt numFmtId="172" formatCode="&quot;$ &quot;#,##0.00"/>
    <numFmt numFmtId="173" formatCode="_-&quot;$ &quot;* #,##0.00_-;&quot;-$ &quot;* #,##0.00_-;_-&quot;$ &quot;* \-??_-;_-@_-"/>
  </numFmts>
  <fonts count="1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0C987"/>
      <name val="Calibri"/>
      <charset val="1"/>
    </font>
    <font>
      <b/>
      <sz val="20"/>
      <color rgb="FFF3ECE0"/>
      <name val="Calibri"/>
      <charset val="1"/>
    </font>
    <font>
      <sz val="9"/>
      <color rgb="FF8D8072"/>
      <name val="Calibri"/>
      <charset val="1"/>
    </font>
    <font>
      <b/>
      <sz val="18"/>
      <color rgb="FFF0C987"/>
      <name val="Calibri"/>
      <charset val="1"/>
    </font>
    <font>
      <b/>
      <sz val="18"/>
      <color rgb="FFFF8A5C"/>
      <name val="Calibri"/>
      <charset val="1"/>
    </font>
    <font>
      <b/>
      <sz val="18"/>
      <color rgb="FF6FD8B3"/>
      <name val="Calibri"/>
      <charset val="1"/>
    </font>
    <font>
      <i/>
      <sz val="8"/>
      <color rgb="FF8D8072"/>
      <name val="Calibri"/>
      <charset val="1"/>
    </font>
    <font>
      <i/>
      <sz val="8.5"/>
      <color rgb="FF8D8072"/>
      <name val="Calibri"/>
      <charset val="1"/>
    </font>
    <font>
      <b/>
      <sz val="9"/>
      <color rgb="FFF3ECE0"/>
      <name val="Calibri"/>
      <charset val="1"/>
    </font>
    <font>
      <sz val="9.5"/>
      <color rgb="FFCBBFA9"/>
      <name val="Calibri"/>
      <charset val="1"/>
    </font>
    <font>
      <b/>
      <sz val="9.5"/>
      <color rgb="FFF3ECE0"/>
      <name val="Calibri"/>
      <charset val="1"/>
    </font>
    <font>
      <b/>
      <sz val="12"/>
      <color rgb="FF333399"/>
      <name val="Verdana"/>
      <family val="2"/>
      <charset val="1"/>
    </font>
    <font>
      <b/>
      <sz val="12"/>
      <name val="Verdana"/>
      <family val="2"/>
      <charset val="1"/>
    </font>
    <font>
      <sz val="12"/>
      <name val="Verdana"/>
      <family val="2"/>
      <charset val="1"/>
    </font>
    <font>
      <sz val="12"/>
      <color rgb="FFFFFFFF"/>
      <name val="Verdana"/>
      <family val="2"/>
      <charset val="1"/>
    </font>
    <font>
      <b/>
      <sz val="12"/>
      <color rgb="FFFFFFFF"/>
      <name val="Verdana"/>
      <family val="2"/>
      <charset val="1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92D050"/>
        <bgColor rgb="FF6FD8B3"/>
      </patternFill>
    </fill>
    <fill>
      <patternFill patternType="solid">
        <fgColor theme="5" tint="0.59987182226020086"/>
        <bgColor rgb="FFF0C987"/>
      </patternFill>
    </fill>
    <fill>
      <patternFill patternType="solid">
        <fgColor theme="4" tint="0.59987182226020086"/>
        <bgColor rgb="FFC0C0C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0" tint="-4.9989318521683403E-2"/>
        <bgColor rgb="FFF3ECE0"/>
      </patternFill>
    </fill>
    <fill>
      <patternFill patternType="solid">
        <fgColor rgb="FF1C1712"/>
        <bgColor rgb="FF241D16"/>
      </patternFill>
    </fill>
    <fill>
      <patternFill patternType="solid">
        <fgColor rgb="FF241D16"/>
        <bgColor rgb="FF1C1712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333333"/>
        <bgColor rgb="FF241D16"/>
      </patternFill>
    </fill>
    <fill>
      <patternFill patternType="solid">
        <fgColor rgb="FFC0C0C0"/>
        <bgColor rgb="FFCBBFA9"/>
      </patternFill>
    </fill>
    <fill>
      <patternFill patternType="solid">
        <fgColor rgb="FF99CCFF"/>
        <bgColor rgb="FF8EC4EE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8" fillId="0" borderId="0"/>
  </cellStyleXfs>
  <cellXfs count="109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3" xfId="0" applyBorder="1"/>
    <xf numFmtId="165" fontId="0" fillId="0" borderId="1" xfId="0" applyNumberFormat="1" applyBorder="1"/>
    <xf numFmtId="166" fontId="0" fillId="0" borderId="1" xfId="0" applyNumberFormat="1" applyBorder="1"/>
    <xf numFmtId="165" fontId="0" fillId="2" borderId="1" xfId="0" applyNumberFormat="1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  <xf numFmtId="165" fontId="0" fillId="0" borderId="0" xfId="0" applyNumberFormat="1"/>
    <xf numFmtId="0" fontId="0" fillId="4" borderId="1" xfId="0" applyFill="1" applyBorder="1"/>
    <xf numFmtId="165" fontId="0" fillId="4" borderId="1" xfId="0" applyNumberForma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5" borderId="5" xfId="0" applyFont="1" applyFill="1" applyBorder="1"/>
    <xf numFmtId="165" fontId="0" fillId="5" borderId="1" xfId="0" applyNumberFormat="1" applyFill="1" applyBorder="1"/>
    <xf numFmtId="165" fontId="0" fillId="3" borderId="0" xfId="0" applyNumberFormat="1" applyFill="1"/>
    <xf numFmtId="0" fontId="1" fillId="6" borderId="1" xfId="0" applyFont="1" applyFill="1" applyBorder="1"/>
    <xf numFmtId="10" fontId="0" fillId="6" borderId="1" xfId="0" applyNumberFormat="1" applyFill="1" applyBorder="1"/>
    <xf numFmtId="165" fontId="1" fillId="3" borderId="0" xfId="0" applyNumberFormat="1" applyFont="1" applyFill="1"/>
    <xf numFmtId="0" fontId="0" fillId="7" borderId="1" xfId="0" applyFill="1" applyBorder="1"/>
    <xf numFmtId="0" fontId="0" fillId="7" borderId="3" xfId="0" applyFill="1" applyBorder="1"/>
    <xf numFmtId="165" fontId="0" fillId="7" borderId="1" xfId="0" applyNumberFormat="1" applyFill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0" fontId="0" fillId="8" borderId="0" xfId="0" applyFill="1"/>
    <xf numFmtId="0" fontId="10" fillId="8" borderId="0" xfId="0" applyFont="1" applyFill="1"/>
    <xf numFmtId="0" fontId="11" fillId="8" borderId="0" xfId="0" applyFont="1" applyFill="1"/>
    <xf numFmtId="169" fontId="11" fillId="8" borderId="0" xfId="0" applyNumberFormat="1" applyFont="1" applyFill="1"/>
    <xf numFmtId="167" fontId="11" fillId="8" borderId="0" xfId="0" applyNumberFormat="1" applyFont="1" applyFill="1"/>
    <xf numFmtId="168" fontId="11" fillId="8" borderId="0" xfId="0" applyNumberFormat="1" applyFont="1" applyFill="1"/>
    <xf numFmtId="0" fontId="12" fillId="8" borderId="0" xfId="0" applyFont="1" applyFill="1"/>
    <xf numFmtId="167" fontId="12" fillId="8" borderId="0" xfId="0" applyNumberFormat="1" applyFont="1" applyFill="1"/>
    <xf numFmtId="0" fontId="14" fillId="10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170" fontId="14" fillId="10" borderId="6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15" fillId="0" borderId="7" xfId="0" applyFont="1" applyBorder="1"/>
    <xf numFmtId="171" fontId="15" fillId="2" borderId="7" xfId="0" applyNumberFormat="1" applyFont="1" applyFill="1" applyBorder="1" applyAlignment="1">
      <alignment horizontal="center"/>
    </xf>
    <xf numFmtId="9" fontId="15" fillId="2" borderId="7" xfId="0" applyNumberFormat="1" applyFont="1" applyFill="1" applyBorder="1" applyAlignment="1">
      <alignment horizontal="center"/>
    </xf>
    <xf numFmtId="171" fontId="15" fillId="0" borderId="9" xfId="0" applyNumberFormat="1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15" fillId="0" borderId="10" xfId="0" applyFont="1" applyBorder="1"/>
    <xf numFmtId="0" fontId="15" fillId="0" borderId="11" xfId="0" applyFont="1" applyBorder="1"/>
    <xf numFmtId="0" fontId="15" fillId="2" borderId="12" xfId="0" applyFont="1" applyFill="1" applyBorder="1" applyAlignment="1">
      <alignment horizontal="center"/>
    </xf>
    <xf numFmtId="172" fontId="14" fillId="11" borderId="6" xfId="0" applyNumberFormat="1" applyFont="1" applyFill="1" applyBorder="1" applyAlignment="1">
      <alignment horizontal="center"/>
    </xf>
    <xf numFmtId="0" fontId="15" fillId="0" borderId="13" xfId="0" applyFont="1" applyBorder="1"/>
    <xf numFmtId="172" fontId="14" fillId="11" borderId="14" xfId="0" applyNumberFormat="1" applyFont="1" applyFill="1" applyBorder="1" applyAlignment="1">
      <alignment horizontal="center"/>
    </xf>
    <xf numFmtId="172" fontId="14" fillId="11" borderId="15" xfId="0" applyNumberFormat="1" applyFont="1" applyFill="1" applyBorder="1" applyAlignment="1">
      <alignment horizontal="center"/>
    </xf>
    <xf numFmtId="171" fontId="14" fillId="11" borderId="6" xfId="0" applyNumberFormat="1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172" fontId="14" fillId="11" borderId="17" xfId="0" applyNumberFormat="1" applyFont="1" applyFill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6" fillId="12" borderId="0" xfId="0" applyFont="1" applyFill="1"/>
    <xf numFmtId="0" fontId="16" fillId="12" borderId="0" xfId="0" applyFont="1" applyFill="1" applyAlignment="1">
      <alignment horizontal="center"/>
    </xf>
    <xf numFmtId="9" fontId="16" fillId="12" borderId="9" xfId="0" applyNumberFormat="1" applyFont="1" applyFill="1" applyBorder="1" applyAlignment="1">
      <alignment horizontal="center"/>
    </xf>
    <xf numFmtId="0" fontId="14" fillId="13" borderId="18" xfId="0" applyFont="1" applyFill="1" applyBorder="1" applyAlignment="1">
      <alignment horizontal="left" vertical="center" wrapText="1"/>
    </xf>
    <xf numFmtId="0" fontId="16" fillId="12" borderId="16" xfId="0" applyFont="1" applyFill="1" applyBorder="1"/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left" vertical="center" wrapText="1"/>
    </xf>
    <xf numFmtId="0" fontId="14" fillId="13" borderId="22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4" fillId="13" borderId="25" xfId="0" applyFont="1" applyFill="1" applyBorder="1" applyAlignment="1">
      <alignment horizontal="left" vertical="center" wrapText="1"/>
    </xf>
    <xf numFmtId="0" fontId="14" fillId="13" borderId="24" xfId="0" applyFont="1" applyFill="1" applyBorder="1" applyAlignment="1">
      <alignment horizontal="left" vertical="center" wrapText="1"/>
    </xf>
    <xf numFmtId="171" fontId="15" fillId="0" borderId="26" xfId="0" applyNumberFormat="1" applyFont="1" applyBorder="1" applyAlignment="1">
      <alignment vertical="center"/>
    </xf>
    <xf numFmtId="9" fontId="14" fillId="2" borderId="27" xfId="0" applyNumberFormat="1" applyFont="1" applyFill="1" applyBorder="1" applyAlignment="1">
      <alignment horizontal="center" vertical="center" wrapText="1"/>
    </xf>
    <xf numFmtId="171" fontId="15" fillId="2" borderId="27" xfId="0" applyNumberFormat="1" applyFont="1" applyFill="1" applyBorder="1" applyAlignment="1">
      <alignment vertical="center" wrapText="1"/>
    </xf>
    <xf numFmtId="0" fontId="15" fillId="2" borderId="27" xfId="0" applyFont="1" applyFill="1" applyBorder="1" applyAlignment="1">
      <alignment horizontal="center" vertical="center" wrapText="1"/>
    </xf>
    <xf numFmtId="171" fontId="15" fillId="0" borderId="28" xfId="0" applyNumberFormat="1" applyFont="1" applyBorder="1" applyAlignment="1">
      <alignment horizontal="center" vertical="center" wrapText="1"/>
    </xf>
    <xf numFmtId="173" fontId="15" fillId="0" borderId="26" xfId="0" applyNumberFormat="1" applyFont="1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 wrapText="1"/>
    </xf>
    <xf numFmtId="171" fontId="14" fillId="14" borderId="30" xfId="0" applyNumberFormat="1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171" fontId="14" fillId="13" borderId="32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/>
    </xf>
    <xf numFmtId="0" fontId="9" fillId="8" borderId="0" xfId="0" applyFont="1" applyFill="1"/>
    <xf numFmtId="167" fontId="6" fillId="9" borderId="0" xfId="0" applyNumberFormat="1" applyFont="1" applyFill="1" applyAlignment="1">
      <alignment vertical="center"/>
    </xf>
    <xf numFmtId="0" fontId="8" fillId="9" borderId="0" xfId="0" applyFont="1" applyFill="1" applyAlignment="1">
      <alignment vertical="center"/>
    </xf>
    <xf numFmtId="167" fontId="5" fillId="9" borderId="0" xfId="0" applyNumberFormat="1" applyFont="1" applyFill="1" applyAlignment="1">
      <alignment vertical="center"/>
    </xf>
    <xf numFmtId="168" fontId="5" fillId="9" borderId="0" xfId="0" applyNumberFormat="1" applyFont="1" applyFill="1" applyAlignment="1">
      <alignment vertical="center"/>
    </xf>
    <xf numFmtId="168" fontId="6" fillId="9" borderId="0" xfId="0" applyNumberFormat="1" applyFont="1" applyFill="1" applyAlignment="1">
      <alignment vertical="center"/>
    </xf>
    <xf numFmtId="1" fontId="7" fillId="9" borderId="0" xfId="0" applyNumberFormat="1" applyFont="1" applyFill="1" applyAlignment="1">
      <alignment vertical="center"/>
    </xf>
    <xf numFmtId="0" fontId="2" fillId="8" borderId="0" xfId="0" applyFont="1" applyFill="1"/>
    <xf numFmtId="0" fontId="3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0" fontId="15" fillId="0" borderId="20" xfId="0" applyFont="1" applyBorder="1" applyAlignment="1">
      <alignment horizontal="center" vertical="center" wrapText="1"/>
    </xf>
    <xf numFmtId="0" fontId="14" fillId="13" borderId="23" xfId="0" applyFont="1" applyFill="1" applyBorder="1" applyAlignment="1">
      <alignment horizontal="center" vertical="center" wrapText="1"/>
    </xf>
    <xf numFmtId="169" fontId="15" fillId="2" borderId="1" xfId="0" applyNumberFormat="1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13" borderId="19" xfId="0" applyFont="1" applyFill="1" applyBorder="1" applyAlignment="1">
      <alignment horizontal="center" vertical="center" wrapText="1"/>
    </xf>
    <xf numFmtId="169" fontId="15" fillId="2" borderId="8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69" fontId="15" fillId="2" borderId="10" xfId="0" applyNumberFormat="1" applyFont="1" applyFill="1" applyBorder="1" applyAlignment="1">
      <alignment horizontal="center"/>
    </xf>
    <xf numFmtId="0" fontId="13" fillId="0" borderId="6" xfId="0" applyFont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</cellXfs>
  <cellStyles count="2">
    <cellStyle name="Normal" xfId="0" builtinId="0"/>
    <cellStyle name="Vírgula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D8072"/>
      <rgbColor rgb="FF8EC4EE"/>
      <rgbColor rgb="FFC66E6E"/>
      <rgbColor rgb="FFF3ECE0"/>
      <rgbColor rgb="FFCCFFFF"/>
      <rgbColor rgb="FF660066"/>
      <rgbColor rgb="FFFF8A5C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7FE3BD"/>
      <rgbColor rgb="FFF2F2F2"/>
      <rgbColor rgb="FFCCFFCC"/>
      <rgbColor rgb="FFC5E0B4"/>
      <rgbColor rgb="FF99CCFF"/>
      <rgbColor rgb="FFE0B478"/>
      <rgbColor rgb="FFCBBFA9"/>
      <rgbColor rgb="FFF8CBAD"/>
      <rgbColor rgb="FF4472C4"/>
      <rgbColor rgb="FF6FD8B3"/>
      <rgbColor rgb="FF92D050"/>
      <rgbColor rgb="FFF0C987"/>
      <rgbColor rgb="FFD4A24E"/>
      <rgbColor rgb="FFE2542F"/>
      <rgbColor rgb="FF666699"/>
      <rgbColor rgb="FFB3B3B3"/>
      <rgbColor rgb="FF003366"/>
      <rgbColor rgb="FF2C7D61"/>
      <rgbColor rgb="FF1C1712"/>
      <rgbColor rgb="FF241D16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3ECE0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F3ECE0"/>
                </a:solidFill>
                <a:latin typeface="Calibri"/>
              </a:rPr>
              <a:t>Top 10 itens por valor descartado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PAINEL!$M$36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FF8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PAINEL!$L$37:$L$46</c:f>
              <c:strCache>
                <c:ptCount val="10"/>
                <c:pt idx="0">
                  <c:v>CHOCOLATE</c:v>
                </c:pt>
                <c:pt idx="1">
                  <c:v>PÃO DE QUEIJO</c:v>
                </c:pt>
                <c:pt idx="2">
                  <c:v>OVO MEXIDO</c:v>
                </c:pt>
                <c:pt idx="3">
                  <c:v>LEITE INTEGRAL</c:v>
                </c:pt>
                <c:pt idx="4">
                  <c:v>SUCO DE LARANJA COM MAMAO</c:v>
                </c:pt>
                <c:pt idx="5">
                  <c:v>SUCO DE MELANCIA</c:v>
                </c:pt>
                <c:pt idx="6">
                  <c:v>MINI PÃO FRANCÊS 30G</c:v>
                </c:pt>
                <c:pt idx="7">
                  <c:v>MIX DE SALADAS</c:v>
                </c:pt>
                <c:pt idx="8">
                  <c:v>CALABRESA</c:v>
                </c:pt>
                <c:pt idx="9">
                  <c:v>PEITO DE PERU</c:v>
                </c:pt>
              </c:strCache>
            </c:strRef>
          </c:cat>
          <c:val>
            <c:numRef>
              <c:f>PAINEL!$M$37:$M$46</c:f>
              <c:numCache>
                <c:formatCode>"R$ "#,##0.00</c:formatCode>
                <c:ptCount val="10"/>
                <c:pt idx="0">
                  <c:v>40.26708</c:v>
                </c:pt>
                <c:pt idx="1">
                  <c:v>31.102499999999999</c:v>
                </c:pt>
                <c:pt idx="2">
                  <c:v>27.310399999999998</c:v>
                </c:pt>
                <c:pt idx="3">
                  <c:v>26.2685</c:v>
                </c:pt>
                <c:pt idx="4">
                  <c:v>25.9757</c:v>
                </c:pt>
                <c:pt idx="5">
                  <c:v>23.925000000000001</c:v>
                </c:pt>
                <c:pt idx="6">
                  <c:v>18.360000000000003</c:v>
                </c:pt>
                <c:pt idx="7">
                  <c:v>12.896100000000001</c:v>
                </c:pt>
                <c:pt idx="8">
                  <c:v>12.761279999999999</c:v>
                </c:pt>
                <c:pt idx="9">
                  <c:v>11.9907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A2E-8B14-92D67E068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4024569"/>
        <c:axId val="9361984"/>
      </c:barChart>
      <c:catAx>
        <c:axId val="840245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361984"/>
        <c:crosses val="autoZero"/>
        <c:auto val="1"/>
        <c:lblAlgn val="ctr"/>
        <c:lblOffset val="100"/>
        <c:noMultiLvlLbl val="0"/>
      </c:catAx>
      <c:valAx>
        <c:axId val="93619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40245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241D16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3ECE0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F3ECE0"/>
                </a:solidFill>
                <a:latin typeface="Calibri"/>
              </a:rPr>
              <a:t>Descarte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PAINEL!$P$36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E2542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BAB-4E4E-A26D-E842B3663B42}"/>
              </c:ext>
            </c:extLst>
          </c:dPt>
          <c:dPt>
            <c:idx val="1"/>
            <c:bubble3D val="0"/>
            <c:spPr>
              <a:solidFill>
                <a:srgbClr val="D4A24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BAB-4E4E-A26D-E842B3663B42}"/>
              </c:ext>
            </c:extLst>
          </c:dPt>
          <c:dPt>
            <c:idx val="2"/>
            <c:bubble3D val="0"/>
            <c:spPr>
              <a:solidFill>
                <a:srgbClr val="C66E6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BAB-4E4E-A26D-E842B3663B42}"/>
              </c:ext>
            </c:extLst>
          </c:dPt>
          <c:dPt>
            <c:idx val="3"/>
            <c:bubble3D val="0"/>
            <c:spPr>
              <a:solidFill>
                <a:srgbClr val="F0C98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BAB-4E4E-A26D-E842B3663B42}"/>
              </c:ext>
            </c:extLst>
          </c:dPt>
          <c:dPt>
            <c:idx val="4"/>
            <c:bubble3D val="0"/>
            <c:spPr>
              <a:solidFill>
                <a:srgbClr val="E0B47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BAB-4E4E-A26D-E842B3663B42}"/>
              </c:ext>
            </c:extLst>
          </c:dPt>
          <c:dPt>
            <c:idx val="5"/>
            <c:bubble3D val="0"/>
            <c:spPr>
              <a:solidFill>
                <a:srgbClr val="7FE3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BAB-4E4E-A26D-E842B3663B42}"/>
              </c:ext>
            </c:extLst>
          </c:dPt>
          <c:dPt>
            <c:idx val="6"/>
            <c:bubble3D val="0"/>
            <c:spPr>
              <a:solidFill>
                <a:srgbClr val="8EC4E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BAB-4E4E-A26D-E842B3663B42}"/>
              </c:ext>
            </c:extLst>
          </c:dPt>
          <c:dPt>
            <c:idx val="7"/>
            <c:bubble3D val="0"/>
            <c:spPr>
              <a:solidFill>
                <a:srgbClr val="8D807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BAB-4E4E-A26D-E842B3663B4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AB-4E4E-A26D-E842B3663B4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AB-4E4E-A26D-E842B3663B4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AB-4E4E-A26D-E842B3663B4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AB-4E4E-A26D-E842B3663B42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AB-4E4E-A26D-E842B3663B42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AB-4E4E-A26D-E842B3663B42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AB-4E4E-A26D-E842B3663B42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AB-4E4E-A26D-E842B3663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PAINEL!$O$37:$O$44</c:f>
              <c:strCache>
                <c:ptCount val="8"/>
                <c:pt idx="0">
                  <c:v>Padaria</c:v>
                </c:pt>
                <c:pt idx="1">
                  <c:v>Proteínas</c:v>
                </c:pt>
                <c:pt idx="2">
                  <c:v>Bebidas</c:v>
                </c:pt>
                <c:pt idx="3">
                  <c:v>Doces</c:v>
                </c:pt>
                <c:pt idx="4">
                  <c:v>Laticínios</c:v>
                </c:pt>
                <c:pt idx="5">
                  <c:v>Guarnições</c:v>
                </c:pt>
                <c:pt idx="6">
                  <c:v>Frutas</c:v>
                </c:pt>
                <c:pt idx="7">
                  <c:v>Outros</c:v>
                </c:pt>
              </c:strCache>
            </c:strRef>
          </c:cat>
          <c:val>
            <c:numRef>
              <c:f>PAINEL!$P$37:$P$44</c:f>
              <c:numCache>
                <c:formatCode>"R$ "#,##0.00</c:formatCode>
                <c:ptCount val="8"/>
                <c:pt idx="0">
                  <c:v>124.85249999999999</c:v>
                </c:pt>
                <c:pt idx="1">
                  <c:v>82.302340000000001</c:v>
                </c:pt>
                <c:pt idx="2">
                  <c:v>63.355180000000004</c:v>
                </c:pt>
                <c:pt idx="3">
                  <c:v>42.972940000000001</c:v>
                </c:pt>
                <c:pt idx="4">
                  <c:v>55.491149999999998</c:v>
                </c:pt>
                <c:pt idx="5">
                  <c:v>25.26756</c:v>
                </c:pt>
                <c:pt idx="6">
                  <c:v>18.37144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AB-4E4E-A26D-E842B3663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chemeClr val="bg1">
            <a:lumMod val="95000"/>
          </a:schemeClr>
        </a:solidFill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241D16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3ECE0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F3ECE0"/>
                </a:solidFill>
                <a:latin typeface="Calibri"/>
              </a:rPr>
              <a:t>Receita por origem do hóspede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PAINEL!$S$36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FD8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EB5-4D73-A82F-D91D0DF0DD22}"/>
              </c:ext>
            </c:extLst>
          </c:dPt>
          <c:dPt>
            <c:idx val="1"/>
            <c:bubble3D val="0"/>
            <c:spPr>
              <a:solidFill>
                <a:srgbClr val="2C7D6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EB5-4D73-A82F-D91D0DF0DD2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B5-4D73-A82F-D91D0DF0DD2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B5-4D73-A82F-D91D0DF0DD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PAINEL!$R$37:$R$38</c:f>
              <c:strCache>
                <c:ptCount val="2"/>
                <c:pt idx="0">
                  <c:v>Hóspedes (café incluso)</c:v>
                </c:pt>
                <c:pt idx="1">
                  <c:v>Passantes (avulso)</c:v>
                </c:pt>
              </c:strCache>
            </c:strRef>
          </c:cat>
          <c:val>
            <c:numRef>
              <c:f>PAINEL!$S$37:$S$38</c:f>
              <c:numCache>
                <c:formatCode>"R$ "#,##0.00</c:formatCode>
                <c:ptCount val="2"/>
                <c:pt idx="0">
                  <c:v>3358</c:v>
                </c:pt>
                <c:pt idx="1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B5-4D73-A82F-D91D0DF0D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chemeClr val="bg1">
            <a:lumMod val="95000"/>
          </a:schemeClr>
        </a:solidFill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241D16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elipesilvafernandes-droid/dashboard-cafe-manh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152280</xdr:colOff>
      <xdr:row>26</xdr:row>
      <xdr:rowOff>181440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17</xdr:col>
      <xdr:colOff>207360</xdr:colOff>
      <xdr:row>26</xdr:row>
      <xdr:rowOff>181440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9</xdr:row>
      <xdr:rowOff>0</xdr:rowOff>
    </xdr:from>
    <xdr:to>
      <xdr:col>23</xdr:col>
      <xdr:colOff>207720</xdr:colOff>
      <xdr:row>26</xdr:row>
      <xdr:rowOff>181440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5</xdr:col>
      <xdr:colOff>361950</xdr:colOff>
      <xdr:row>8</xdr:row>
      <xdr:rowOff>76200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F531A7-0168-DA86-4265-EC1BEB779F2D}"/>
            </a:ext>
          </a:extLst>
        </xdr:cNvPr>
        <xdr:cNvSpPr/>
      </xdr:nvSpPr>
      <xdr:spPr>
        <a:xfrm>
          <a:off x="152400" y="66675"/>
          <a:ext cx="3257550" cy="1533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/>
            <a:t>DASHBOARD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"/>
  <sheetViews>
    <sheetView topLeftCell="A130" zoomScale="90" zoomScaleNormal="90" workbookViewId="0">
      <selection activeCell="G36" sqref="G36"/>
    </sheetView>
  </sheetViews>
  <sheetFormatPr defaultColWidth="8.7109375" defaultRowHeight="15" x14ac:dyDescent="0.25"/>
  <cols>
    <col min="1" max="1" width="46.5703125" customWidth="1"/>
    <col min="2" max="2" width="12" customWidth="1"/>
    <col min="3" max="3" width="16" customWidth="1"/>
    <col min="4" max="4" width="14" hidden="1" customWidth="1"/>
    <col min="5" max="5" width="19.85546875" style="2" customWidth="1"/>
    <col min="6" max="6" width="19.85546875" customWidth="1"/>
    <col min="7" max="7" width="23.7109375" customWidth="1"/>
    <col min="8" max="8" width="15" customWidth="1"/>
  </cols>
  <sheetData>
    <row r="1" spans="1:8" ht="19.5" customHeight="1" x14ac:dyDescent="0.25">
      <c r="A1" s="95" t="s">
        <v>0</v>
      </c>
      <c r="B1" s="95"/>
      <c r="C1" s="3"/>
      <c r="D1" s="3"/>
      <c r="E1" s="4"/>
      <c r="F1" s="3"/>
      <c r="G1" s="5"/>
    </row>
    <row r="2" spans="1:8" ht="19.5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</row>
    <row r="3" spans="1:8" ht="19.5" customHeight="1" x14ac:dyDescent="0.25">
      <c r="A3" s="3" t="s">
        <v>9</v>
      </c>
      <c r="B3" s="3">
        <v>0.86799999999999999</v>
      </c>
      <c r="C3" s="3"/>
      <c r="D3" s="3"/>
      <c r="E3" s="4">
        <v>0.44800000000000001</v>
      </c>
      <c r="F3" s="8">
        <f t="shared" ref="F3:F34" si="0">B3+C3-E3</f>
        <v>0.42</v>
      </c>
      <c r="G3" s="9">
        <v>4.05</v>
      </c>
      <c r="H3" s="9">
        <f t="shared" ref="H3:H34" si="1">F3*G3</f>
        <v>1.7009999999999998</v>
      </c>
    </row>
    <row r="4" spans="1:8" ht="19.5" customHeight="1" x14ac:dyDescent="0.25">
      <c r="A4" s="3" t="s">
        <v>10</v>
      </c>
      <c r="B4" s="3"/>
      <c r="C4" s="3"/>
      <c r="D4" s="3"/>
      <c r="E4" s="4"/>
      <c r="F4" s="8">
        <f t="shared" si="0"/>
        <v>0</v>
      </c>
      <c r="G4" s="9"/>
      <c r="H4" s="9">
        <f t="shared" si="1"/>
        <v>0</v>
      </c>
    </row>
    <row r="5" spans="1:8" ht="19.5" customHeight="1" x14ac:dyDescent="0.25">
      <c r="A5" s="3" t="s">
        <v>11</v>
      </c>
      <c r="B5" s="3"/>
      <c r="C5" s="3"/>
      <c r="D5" s="3"/>
      <c r="E5" s="4"/>
      <c r="F5" s="8">
        <f t="shared" si="0"/>
        <v>0</v>
      </c>
      <c r="G5" s="9"/>
      <c r="H5" s="9">
        <f t="shared" si="1"/>
        <v>0</v>
      </c>
    </row>
    <row r="6" spans="1:8" ht="19.5" customHeight="1" x14ac:dyDescent="0.25">
      <c r="A6" s="3" t="s">
        <v>12</v>
      </c>
      <c r="B6" s="3"/>
      <c r="C6" s="3"/>
      <c r="D6" s="3"/>
      <c r="E6" s="4"/>
      <c r="F6" s="8">
        <f t="shared" si="0"/>
        <v>0</v>
      </c>
      <c r="G6" s="9"/>
      <c r="H6" s="9">
        <f t="shared" si="1"/>
        <v>0</v>
      </c>
    </row>
    <row r="7" spans="1:8" ht="19.5" customHeight="1" x14ac:dyDescent="0.25">
      <c r="A7" s="3" t="s">
        <v>13</v>
      </c>
      <c r="B7" s="3"/>
      <c r="C7" s="3"/>
      <c r="D7" s="3"/>
      <c r="E7" s="4"/>
      <c r="F7" s="8">
        <f t="shared" si="0"/>
        <v>0</v>
      </c>
      <c r="G7" s="9"/>
      <c r="H7" s="9">
        <f t="shared" si="1"/>
        <v>0</v>
      </c>
    </row>
    <row r="8" spans="1:8" ht="19.5" customHeight="1" x14ac:dyDescent="0.25">
      <c r="A8" s="3" t="s">
        <v>14</v>
      </c>
      <c r="B8" s="3"/>
      <c r="C8" s="3"/>
      <c r="D8" s="3"/>
      <c r="E8" s="4"/>
      <c r="F8" s="8">
        <f t="shared" si="0"/>
        <v>0</v>
      </c>
      <c r="G8" s="9"/>
      <c r="H8" s="9">
        <f t="shared" si="1"/>
        <v>0</v>
      </c>
    </row>
    <row r="9" spans="1:8" ht="19.5" customHeight="1" x14ac:dyDescent="0.25">
      <c r="A9" s="3" t="s">
        <v>15</v>
      </c>
      <c r="B9" s="3">
        <v>1</v>
      </c>
      <c r="C9" s="3"/>
      <c r="D9" s="3"/>
      <c r="E9" s="4">
        <v>1</v>
      </c>
      <c r="F9" s="8">
        <f t="shared" si="0"/>
        <v>0</v>
      </c>
      <c r="G9" s="9">
        <v>9.0500000000000007</v>
      </c>
      <c r="H9" s="9">
        <f t="shared" si="1"/>
        <v>0</v>
      </c>
    </row>
    <row r="10" spans="1:8" ht="19.5" customHeight="1" x14ac:dyDescent="0.25">
      <c r="A10" s="4" t="s">
        <v>16</v>
      </c>
      <c r="B10" s="3"/>
      <c r="C10" s="3"/>
      <c r="D10" s="3"/>
      <c r="E10" s="4"/>
      <c r="F10" s="8">
        <f t="shared" si="0"/>
        <v>0</v>
      </c>
      <c r="G10" s="9"/>
      <c r="H10" s="9">
        <f t="shared" si="1"/>
        <v>0</v>
      </c>
    </row>
    <row r="11" spans="1:8" ht="19.5" customHeight="1" x14ac:dyDescent="0.25">
      <c r="A11" s="3" t="s">
        <v>17</v>
      </c>
      <c r="B11" s="3">
        <v>0.59399999999999997</v>
      </c>
      <c r="C11" s="3"/>
      <c r="D11" s="3"/>
      <c r="E11" s="4">
        <v>0.54400000000000004</v>
      </c>
      <c r="F11" s="8">
        <f t="shared" si="0"/>
        <v>4.9999999999999933E-2</v>
      </c>
      <c r="G11" s="9">
        <v>33.93</v>
      </c>
      <c r="H11" s="9">
        <f t="shared" si="1"/>
        <v>1.6964999999999977</v>
      </c>
    </row>
    <row r="12" spans="1:8" ht="19.5" customHeight="1" x14ac:dyDescent="0.25">
      <c r="A12" s="3" t="s">
        <v>18</v>
      </c>
      <c r="B12" s="3">
        <v>0.624</v>
      </c>
      <c r="C12" s="3"/>
      <c r="D12" s="3"/>
      <c r="E12" s="4">
        <v>0.51800000000000002</v>
      </c>
      <c r="F12" s="8">
        <f t="shared" si="0"/>
        <v>0.10599999999999998</v>
      </c>
      <c r="G12" s="9">
        <f>11.97*2</f>
        <v>23.94</v>
      </c>
      <c r="H12" s="9">
        <f t="shared" si="1"/>
        <v>2.5376399999999997</v>
      </c>
    </row>
    <row r="13" spans="1:8" ht="19.5" customHeight="1" x14ac:dyDescent="0.25">
      <c r="A13" s="3" t="s">
        <v>19</v>
      </c>
      <c r="B13" s="3"/>
      <c r="C13" s="3"/>
      <c r="D13" s="3"/>
      <c r="E13" s="4"/>
      <c r="F13" s="8">
        <f t="shared" si="0"/>
        <v>0</v>
      </c>
      <c r="G13" s="9"/>
      <c r="H13" s="9">
        <f t="shared" si="1"/>
        <v>0</v>
      </c>
    </row>
    <row r="14" spans="1:8" ht="19.5" customHeight="1" x14ac:dyDescent="0.25">
      <c r="A14" s="3" t="s">
        <v>20</v>
      </c>
      <c r="B14" s="3"/>
      <c r="C14" s="3"/>
      <c r="D14" s="3"/>
      <c r="E14" s="4"/>
      <c r="F14" s="8">
        <f t="shared" si="0"/>
        <v>0</v>
      </c>
      <c r="G14" s="9"/>
      <c r="H14" s="9">
        <f t="shared" si="1"/>
        <v>0</v>
      </c>
    </row>
    <row r="15" spans="1:8" ht="19.5" customHeight="1" x14ac:dyDescent="0.25">
      <c r="A15" s="3" t="s">
        <v>21</v>
      </c>
      <c r="B15" s="3"/>
      <c r="C15" s="3"/>
      <c r="D15" s="3"/>
      <c r="E15" s="4"/>
      <c r="F15" s="8">
        <f t="shared" si="0"/>
        <v>0</v>
      </c>
      <c r="G15" s="9"/>
      <c r="H15" s="9">
        <f t="shared" si="1"/>
        <v>0</v>
      </c>
    </row>
    <row r="16" spans="1:8" ht="19.5" customHeight="1" x14ac:dyDescent="0.25">
      <c r="A16" s="4" t="s">
        <v>22</v>
      </c>
      <c r="B16" s="3"/>
      <c r="C16" s="3"/>
      <c r="D16" s="3"/>
      <c r="E16" s="4"/>
      <c r="F16" s="8">
        <f t="shared" si="0"/>
        <v>0</v>
      </c>
      <c r="G16" s="9"/>
      <c r="H16" s="9">
        <f t="shared" si="1"/>
        <v>0</v>
      </c>
    </row>
    <row r="17" spans="1:8" ht="19.5" customHeight="1" x14ac:dyDescent="0.25">
      <c r="A17" s="4" t="s">
        <v>23</v>
      </c>
      <c r="B17" s="3">
        <v>1.3180000000000001</v>
      </c>
      <c r="C17" s="3"/>
      <c r="D17" s="3"/>
      <c r="E17" s="4">
        <v>0.64600000000000002</v>
      </c>
      <c r="F17" s="8">
        <f t="shared" si="0"/>
        <v>0.67200000000000004</v>
      </c>
      <c r="G17" s="9">
        <v>5.36</v>
      </c>
      <c r="H17" s="9">
        <f t="shared" si="1"/>
        <v>3.6019200000000002</v>
      </c>
    </row>
    <row r="18" spans="1:8" ht="19.5" customHeight="1" x14ac:dyDescent="0.25">
      <c r="A18" s="4" t="s">
        <v>24</v>
      </c>
      <c r="B18" s="3">
        <v>1.64</v>
      </c>
      <c r="C18" s="3"/>
      <c r="D18" s="3"/>
      <c r="E18" s="4">
        <v>0.38600000000000001</v>
      </c>
      <c r="F18" s="8">
        <f t="shared" si="0"/>
        <v>1.254</v>
      </c>
      <c r="G18" s="9">
        <v>7.01</v>
      </c>
      <c r="H18" s="9">
        <f t="shared" si="1"/>
        <v>8.79054</v>
      </c>
    </row>
    <row r="19" spans="1:8" ht="19.5" customHeight="1" x14ac:dyDescent="0.25">
      <c r="A19" s="4" t="s">
        <v>25</v>
      </c>
      <c r="B19" s="3"/>
      <c r="C19" s="3"/>
      <c r="D19" s="3"/>
      <c r="E19" s="4"/>
      <c r="F19" s="8">
        <f t="shared" si="0"/>
        <v>0</v>
      </c>
      <c r="G19" s="9"/>
      <c r="H19" s="9">
        <f t="shared" si="1"/>
        <v>0</v>
      </c>
    </row>
    <row r="20" spans="1:8" ht="19.5" customHeight="1" x14ac:dyDescent="0.25">
      <c r="A20" s="3" t="s">
        <v>26</v>
      </c>
      <c r="B20" s="3"/>
      <c r="C20" s="3"/>
      <c r="D20" s="3"/>
      <c r="E20" s="4"/>
      <c r="F20" s="8">
        <f t="shared" si="0"/>
        <v>0</v>
      </c>
      <c r="G20" s="9"/>
      <c r="H20" s="9">
        <f t="shared" si="1"/>
        <v>0</v>
      </c>
    </row>
    <row r="21" spans="1:8" ht="19.5" customHeight="1" x14ac:dyDescent="0.25">
      <c r="A21" s="3" t="s">
        <v>27</v>
      </c>
      <c r="B21" s="3">
        <v>0.75</v>
      </c>
      <c r="C21" s="3"/>
      <c r="D21" s="3"/>
      <c r="E21" s="4">
        <v>0</v>
      </c>
      <c r="F21" s="8">
        <f t="shared" si="0"/>
        <v>0.75</v>
      </c>
      <c r="G21" s="9">
        <v>94.3</v>
      </c>
      <c r="H21" s="9">
        <f t="shared" si="1"/>
        <v>70.724999999999994</v>
      </c>
    </row>
    <row r="22" spans="1:8" ht="19.5" customHeight="1" x14ac:dyDescent="0.25">
      <c r="A22" s="3" t="s">
        <v>28</v>
      </c>
      <c r="B22" s="3">
        <v>1.65</v>
      </c>
      <c r="C22" s="3"/>
      <c r="D22" s="3"/>
      <c r="E22" s="4">
        <v>1.3640000000000001</v>
      </c>
      <c r="F22" s="8">
        <f t="shared" si="0"/>
        <v>0.28599999999999981</v>
      </c>
      <c r="G22" s="10">
        <v>94.3</v>
      </c>
      <c r="H22" s="9">
        <f t="shared" si="1"/>
        <v>26.969799999999982</v>
      </c>
    </row>
    <row r="23" spans="1:8" ht="19.5" customHeight="1" x14ac:dyDescent="0.25">
      <c r="A23" s="3" t="s">
        <v>29</v>
      </c>
      <c r="B23" s="3"/>
      <c r="C23" s="3"/>
      <c r="D23" s="3"/>
      <c r="E23" s="4"/>
      <c r="F23" s="8">
        <f t="shared" si="0"/>
        <v>0</v>
      </c>
      <c r="G23" s="9"/>
      <c r="H23" s="9">
        <f t="shared" si="1"/>
        <v>0</v>
      </c>
    </row>
    <row r="24" spans="1:8" ht="19.5" customHeight="1" x14ac:dyDescent="0.25">
      <c r="A24" s="3" t="s">
        <v>30</v>
      </c>
      <c r="B24" s="3">
        <v>1.272</v>
      </c>
      <c r="C24" s="3"/>
      <c r="D24" s="3"/>
      <c r="E24" s="4">
        <v>0.67200000000000004</v>
      </c>
      <c r="F24" s="8">
        <f t="shared" si="0"/>
        <v>0.6</v>
      </c>
      <c r="G24" s="9">
        <v>18.989999999999998</v>
      </c>
      <c r="H24" s="9">
        <f t="shared" si="1"/>
        <v>11.393999999999998</v>
      </c>
    </row>
    <row r="25" spans="1:8" ht="19.5" customHeight="1" x14ac:dyDescent="0.25">
      <c r="A25" s="3" t="s">
        <v>31</v>
      </c>
      <c r="B25" s="3"/>
      <c r="C25" s="3"/>
      <c r="D25" s="3"/>
      <c r="E25" s="4"/>
      <c r="F25" s="8">
        <f t="shared" si="0"/>
        <v>0</v>
      </c>
      <c r="G25" s="9"/>
      <c r="H25" s="9">
        <f t="shared" si="1"/>
        <v>0</v>
      </c>
    </row>
    <row r="26" spans="1:8" ht="19.5" customHeight="1" x14ac:dyDescent="0.25">
      <c r="A26" s="3" t="s">
        <v>32</v>
      </c>
      <c r="B26" s="3">
        <v>1.28</v>
      </c>
      <c r="C26" s="3"/>
      <c r="D26" s="3"/>
      <c r="E26" s="4">
        <v>0.876</v>
      </c>
      <c r="F26" s="8">
        <f t="shared" si="0"/>
        <v>0.40400000000000003</v>
      </c>
      <c r="G26" s="9">
        <v>88.62</v>
      </c>
      <c r="H26" s="9">
        <f t="shared" si="1"/>
        <v>35.802480000000003</v>
      </c>
    </row>
    <row r="27" spans="1:8" ht="19.5" customHeight="1" x14ac:dyDescent="0.25">
      <c r="A27" s="3" t="s">
        <v>33</v>
      </c>
      <c r="B27" s="3"/>
      <c r="C27" s="3"/>
      <c r="D27" s="3"/>
      <c r="E27" s="4"/>
      <c r="F27" s="8">
        <f t="shared" si="0"/>
        <v>0</v>
      </c>
      <c r="G27" s="9"/>
      <c r="H27" s="9">
        <f t="shared" si="1"/>
        <v>0</v>
      </c>
    </row>
    <row r="28" spans="1:8" ht="19.5" customHeight="1" x14ac:dyDescent="0.25">
      <c r="A28" s="3" t="s">
        <v>34</v>
      </c>
      <c r="B28" s="3">
        <v>9</v>
      </c>
      <c r="C28" s="3"/>
      <c r="D28" s="3"/>
      <c r="E28" s="4">
        <v>8</v>
      </c>
      <c r="F28" s="8">
        <f t="shared" si="0"/>
        <v>1</v>
      </c>
      <c r="G28" s="9">
        <v>0.42</v>
      </c>
      <c r="H28" s="9">
        <f t="shared" si="1"/>
        <v>0.42</v>
      </c>
    </row>
    <row r="29" spans="1:8" ht="19.5" customHeight="1" x14ac:dyDescent="0.25">
      <c r="A29" s="3" t="s">
        <v>35</v>
      </c>
      <c r="B29" s="3"/>
      <c r="C29" s="3"/>
      <c r="D29" s="3"/>
      <c r="E29" s="4"/>
      <c r="F29" s="8">
        <f t="shared" si="0"/>
        <v>0</v>
      </c>
      <c r="G29" s="9"/>
      <c r="H29" s="9">
        <f t="shared" si="1"/>
        <v>0</v>
      </c>
    </row>
    <row r="30" spans="1:8" ht="19.5" customHeight="1" x14ac:dyDescent="0.25">
      <c r="A30" s="3" t="s">
        <v>36</v>
      </c>
      <c r="B30" s="3">
        <v>12</v>
      </c>
      <c r="C30" s="3"/>
      <c r="D30" s="3"/>
      <c r="E30" s="4">
        <v>11</v>
      </c>
      <c r="F30" s="8">
        <f t="shared" si="0"/>
        <v>1</v>
      </c>
      <c r="G30" s="9">
        <f>6.46/15</f>
        <v>0.43066666666666664</v>
      </c>
      <c r="H30" s="9">
        <f t="shared" si="1"/>
        <v>0.43066666666666664</v>
      </c>
    </row>
    <row r="31" spans="1:8" ht="19.5" customHeight="1" x14ac:dyDescent="0.25">
      <c r="A31" s="3" t="s">
        <v>37</v>
      </c>
      <c r="B31" s="3">
        <v>6</v>
      </c>
      <c r="C31" s="3"/>
      <c r="D31" s="3"/>
      <c r="E31" s="4">
        <v>5</v>
      </c>
      <c r="F31" s="8">
        <f t="shared" si="0"/>
        <v>1</v>
      </c>
      <c r="G31" s="9">
        <v>0.59</v>
      </c>
      <c r="H31" s="9">
        <f t="shared" si="1"/>
        <v>0.59</v>
      </c>
    </row>
    <row r="32" spans="1:8" ht="19.5" customHeight="1" x14ac:dyDescent="0.25">
      <c r="A32" s="4" t="s">
        <v>38</v>
      </c>
      <c r="B32" s="3"/>
      <c r="C32" s="3"/>
      <c r="D32" s="3"/>
      <c r="E32" s="4"/>
      <c r="F32" s="8">
        <f t="shared" si="0"/>
        <v>0</v>
      </c>
      <c r="G32" s="9"/>
      <c r="H32" s="9">
        <f t="shared" si="1"/>
        <v>0</v>
      </c>
    </row>
    <row r="33" spans="1:8" ht="19.5" customHeight="1" x14ac:dyDescent="0.25">
      <c r="A33" s="3" t="s">
        <v>39</v>
      </c>
      <c r="B33" s="3">
        <v>10</v>
      </c>
      <c r="C33" s="3"/>
      <c r="D33" s="3"/>
      <c r="E33" s="4">
        <v>10</v>
      </c>
      <c r="F33" s="8">
        <f t="shared" si="0"/>
        <v>0</v>
      </c>
      <c r="G33" s="9">
        <f>6.46/15</f>
        <v>0.43066666666666664</v>
      </c>
      <c r="H33" s="9">
        <f t="shared" si="1"/>
        <v>0</v>
      </c>
    </row>
    <row r="34" spans="1:8" ht="19.5" customHeight="1" x14ac:dyDescent="0.25">
      <c r="A34" s="3" t="s">
        <v>40</v>
      </c>
      <c r="B34" s="3">
        <v>0.156</v>
      </c>
      <c r="C34" s="3"/>
      <c r="D34" s="3"/>
      <c r="E34" s="4">
        <v>0.114</v>
      </c>
      <c r="F34" s="8">
        <f t="shared" si="0"/>
        <v>4.1999999999999996E-2</v>
      </c>
      <c r="G34" s="9">
        <v>22</v>
      </c>
      <c r="H34" s="9">
        <f t="shared" si="1"/>
        <v>0.92399999999999993</v>
      </c>
    </row>
    <row r="35" spans="1:8" ht="19.5" customHeight="1" x14ac:dyDescent="0.25">
      <c r="A35" s="3" t="s">
        <v>41</v>
      </c>
      <c r="B35" s="3">
        <v>0.96799999999999997</v>
      </c>
      <c r="C35" s="3"/>
      <c r="D35" s="3"/>
      <c r="E35" s="4">
        <v>0.52200000000000002</v>
      </c>
      <c r="F35" s="8">
        <f t="shared" ref="F35:F66" si="2">B35+C35-E35</f>
        <v>0.44599999999999995</v>
      </c>
      <c r="G35" s="9">
        <v>77.14</v>
      </c>
      <c r="H35" s="9">
        <f t="shared" ref="H35:H66" si="3">F35*G35</f>
        <v>34.404439999999994</v>
      </c>
    </row>
    <row r="36" spans="1:8" ht="19.5" customHeight="1" x14ac:dyDescent="0.25">
      <c r="A36" s="3" t="s">
        <v>42</v>
      </c>
      <c r="B36" s="4">
        <v>0.16200000000000001</v>
      </c>
      <c r="C36" s="4"/>
      <c r="D36" s="4"/>
      <c r="E36" s="4">
        <v>0.1</v>
      </c>
      <c r="F36" s="8">
        <f t="shared" si="2"/>
        <v>6.2E-2</v>
      </c>
      <c r="G36" s="11">
        <v>40.4</v>
      </c>
      <c r="H36" s="9">
        <f t="shared" si="3"/>
        <v>2.5047999999999999</v>
      </c>
    </row>
    <row r="37" spans="1:8" ht="19.5" customHeight="1" x14ac:dyDescent="0.25">
      <c r="A37" s="3" t="s">
        <v>43</v>
      </c>
      <c r="B37" s="4">
        <v>1</v>
      </c>
      <c r="C37" s="4"/>
      <c r="D37" s="4"/>
      <c r="E37" s="4">
        <v>7.3999999999999996E-2</v>
      </c>
      <c r="F37" s="8">
        <f t="shared" si="2"/>
        <v>0.92600000000000005</v>
      </c>
      <c r="G37" s="11">
        <v>28.11</v>
      </c>
      <c r="H37" s="9">
        <f t="shared" si="3"/>
        <v>26.029859999999999</v>
      </c>
    </row>
    <row r="38" spans="1:8" ht="19.5" customHeight="1" x14ac:dyDescent="0.25">
      <c r="A38" s="3" t="s">
        <v>44</v>
      </c>
      <c r="B38" s="3"/>
      <c r="C38" s="3"/>
      <c r="D38" s="3"/>
      <c r="E38" s="4"/>
      <c r="F38" s="8">
        <f t="shared" si="2"/>
        <v>0</v>
      </c>
      <c r="G38" s="9"/>
      <c r="H38" s="9">
        <f t="shared" si="3"/>
        <v>0</v>
      </c>
    </row>
    <row r="39" spans="1:8" ht="19.5" customHeight="1" x14ac:dyDescent="0.25">
      <c r="A39" s="3" t="s">
        <v>45</v>
      </c>
      <c r="B39" s="3"/>
      <c r="C39" s="3"/>
      <c r="D39" s="3"/>
      <c r="E39" s="4"/>
      <c r="F39" s="8">
        <f t="shared" si="2"/>
        <v>0</v>
      </c>
      <c r="G39" s="9"/>
      <c r="H39" s="9">
        <f t="shared" si="3"/>
        <v>0</v>
      </c>
    </row>
    <row r="40" spans="1:8" ht="19.5" customHeight="1" x14ac:dyDescent="0.25">
      <c r="A40" s="3" t="s">
        <v>46</v>
      </c>
      <c r="B40" s="3"/>
      <c r="C40" s="3"/>
      <c r="D40" s="3"/>
      <c r="E40" s="4"/>
      <c r="F40" s="8">
        <f t="shared" si="2"/>
        <v>0</v>
      </c>
      <c r="G40" s="9"/>
      <c r="H40" s="9">
        <f t="shared" si="3"/>
        <v>0</v>
      </c>
    </row>
    <row r="41" spans="1:8" ht="19.5" customHeight="1" x14ac:dyDescent="0.25">
      <c r="A41" s="3" t="s">
        <v>47</v>
      </c>
      <c r="B41" s="3">
        <v>66</v>
      </c>
      <c r="C41" s="3"/>
      <c r="D41" s="3"/>
      <c r="E41" s="4">
        <v>42</v>
      </c>
      <c r="F41" s="8">
        <f t="shared" si="2"/>
        <v>24</v>
      </c>
      <c r="G41" s="9">
        <v>1.02</v>
      </c>
      <c r="H41" s="9">
        <f t="shared" si="3"/>
        <v>24.48</v>
      </c>
    </row>
    <row r="42" spans="1:8" ht="19.5" customHeight="1" x14ac:dyDescent="0.25">
      <c r="A42" s="3" t="s">
        <v>48</v>
      </c>
      <c r="B42" s="4"/>
      <c r="C42" s="4"/>
      <c r="D42" s="4"/>
      <c r="E42" s="4"/>
      <c r="F42" s="8">
        <f t="shared" si="2"/>
        <v>0</v>
      </c>
      <c r="G42" s="11"/>
      <c r="H42" s="9">
        <f t="shared" si="3"/>
        <v>0</v>
      </c>
    </row>
    <row r="43" spans="1:8" ht="19.5" customHeight="1" x14ac:dyDescent="0.25">
      <c r="A43" s="3" t="s">
        <v>49</v>
      </c>
      <c r="B43" s="3"/>
      <c r="C43" s="3"/>
      <c r="D43" s="3"/>
      <c r="E43" s="4"/>
      <c r="F43" s="8">
        <f t="shared" si="2"/>
        <v>0</v>
      </c>
      <c r="G43" s="9"/>
      <c r="H43" s="9">
        <f t="shared" si="3"/>
        <v>0</v>
      </c>
    </row>
    <row r="44" spans="1:8" ht="19.5" customHeight="1" x14ac:dyDescent="0.25">
      <c r="A44" s="4" t="s">
        <v>50</v>
      </c>
      <c r="B44" s="4">
        <v>2</v>
      </c>
      <c r="C44" s="4">
        <v>1.5</v>
      </c>
      <c r="D44" s="4"/>
      <c r="E44" s="4">
        <v>0.5</v>
      </c>
      <c r="F44" s="12">
        <f t="shared" si="2"/>
        <v>3</v>
      </c>
      <c r="G44" s="4">
        <f>4.05+3.66+1.9+0.28+8.84*3</f>
        <v>36.409999999999997</v>
      </c>
      <c r="H44" s="11">
        <f t="shared" si="3"/>
        <v>109.22999999999999</v>
      </c>
    </row>
    <row r="45" spans="1:8" ht="19.5" customHeight="1" x14ac:dyDescent="0.25">
      <c r="A45" s="3" t="s">
        <v>51</v>
      </c>
      <c r="B45" s="3"/>
      <c r="C45" s="3"/>
      <c r="D45" s="3"/>
      <c r="E45" s="4"/>
      <c r="F45" s="8">
        <f t="shared" si="2"/>
        <v>0</v>
      </c>
      <c r="G45" s="9"/>
      <c r="H45" s="9">
        <f t="shared" si="3"/>
        <v>0</v>
      </c>
    </row>
    <row r="46" spans="1:8" ht="19.5" customHeight="1" x14ac:dyDescent="0.25">
      <c r="A46" s="3" t="s">
        <v>52</v>
      </c>
      <c r="B46" s="3"/>
      <c r="C46" s="3"/>
      <c r="D46" s="3"/>
      <c r="E46" s="4"/>
      <c r="F46" s="8">
        <f t="shared" si="2"/>
        <v>0</v>
      </c>
      <c r="G46" s="9"/>
      <c r="H46" s="9">
        <f t="shared" si="3"/>
        <v>0</v>
      </c>
    </row>
    <row r="47" spans="1:8" ht="19.5" customHeight="1" x14ac:dyDescent="0.25">
      <c r="A47" s="3" t="s">
        <v>53</v>
      </c>
      <c r="B47" s="3"/>
      <c r="C47" s="3"/>
      <c r="D47" s="3"/>
      <c r="E47" s="4"/>
      <c r="F47" s="8">
        <f t="shared" si="2"/>
        <v>0</v>
      </c>
      <c r="G47" s="9"/>
      <c r="H47" s="9">
        <f t="shared" si="3"/>
        <v>0</v>
      </c>
    </row>
    <row r="48" spans="1:8" ht="19.5" customHeight="1" x14ac:dyDescent="0.25">
      <c r="A48" s="3" t="s">
        <v>54</v>
      </c>
      <c r="B48" s="3"/>
      <c r="C48" s="3"/>
      <c r="D48" s="3"/>
      <c r="E48" s="4"/>
      <c r="F48" s="8">
        <f t="shared" si="2"/>
        <v>0</v>
      </c>
      <c r="G48" s="9"/>
      <c r="H48" s="9">
        <f t="shared" si="3"/>
        <v>0</v>
      </c>
    </row>
    <row r="49" spans="1:8" ht="19.5" customHeight="1" x14ac:dyDescent="0.25">
      <c r="A49" s="3" t="s">
        <v>55</v>
      </c>
      <c r="B49" s="4"/>
      <c r="C49" s="4"/>
      <c r="D49" s="4"/>
      <c r="E49" s="4"/>
      <c r="F49" s="8">
        <f t="shared" si="2"/>
        <v>0</v>
      </c>
      <c r="G49" s="11"/>
      <c r="H49" s="9">
        <f t="shared" si="3"/>
        <v>0</v>
      </c>
    </row>
    <row r="50" spans="1:8" ht="19.5" customHeight="1" x14ac:dyDescent="0.25">
      <c r="A50" s="3" t="s">
        <v>56</v>
      </c>
      <c r="B50" s="4">
        <v>50</v>
      </c>
      <c r="C50" s="4"/>
      <c r="D50" s="4"/>
      <c r="E50" s="4">
        <v>42</v>
      </c>
      <c r="F50" s="8">
        <f t="shared" si="2"/>
        <v>8</v>
      </c>
      <c r="G50" s="11">
        <v>0.28999999999999998</v>
      </c>
      <c r="H50" s="9">
        <f t="shared" si="3"/>
        <v>2.3199999999999998</v>
      </c>
    </row>
    <row r="51" spans="1:8" ht="19.5" customHeight="1" x14ac:dyDescent="0.25">
      <c r="A51" s="3" t="s">
        <v>57</v>
      </c>
      <c r="B51" s="3"/>
      <c r="C51" s="3"/>
      <c r="D51" s="3"/>
      <c r="E51" s="4"/>
      <c r="F51" s="8">
        <f t="shared" si="2"/>
        <v>0</v>
      </c>
      <c r="G51" s="9"/>
      <c r="H51" s="9">
        <f t="shared" si="3"/>
        <v>0</v>
      </c>
    </row>
    <row r="52" spans="1:8" ht="19.5" customHeight="1" x14ac:dyDescent="0.25">
      <c r="A52" s="3" t="s">
        <v>58</v>
      </c>
      <c r="B52" s="3"/>
      <c r="C52" s="3"/>
      <c r="D52" s="3"/>
      <c r="E52" s="4"/>
      <c r="F52" s="8">
        <f t="shared" si="2"/>
        <v>0</v>
      </c>
      <c r="G52" s="9"/>
      <c r="H52" s="9">
        <f t="shared" si="3"/>
        <v>0</v>
      </c>
    </row>
    <row r="53" spans="1:8" ht="19.5" customHeight="1" x14ac:dyDescent="0.25">
      <c r="A53" s="3" t="s">
        <v>59</v>
      </c>
      <c r="B53" s="3">
        <v>10</v>
      </c>
      <c r="C53" s="3"/>
      <c r="D53" s="3"/>
      <c r="E53" s="4">
        <v>7</v>
      </c>
      <c r="F53" s="8">
        <f t="shared" si="2"/>
        <v>3</v>
      </c>
      <c r="G53" s="9">
        <v>3.39</v>
      </c>
      <c r="H53" s="9">
        <f t="shared" si="3"/>
        <v>10.17</v>
      </c>
    </row>
    <row r="54" spans="1:8" ht="19.5" customHeight="1" x14ac:dyDescent="0.25">
      <c r="A54" s="3" t="s">
        <v>60</v>
      </c>
      <c r="B54" s="3">
        <v>10</v>
      </c>
      <c r="C54" s="3"/>
      <c r="D54" s="3"/>
      <c r="E54" s="4">
        <v>6</v>
      </c>
      <c r="F54" s="8">
        <f t="shared" si="2"/>
        <v>4</v>
      </c>
      <c r="G54" s="9">
        <v>3.39</v>
      </c>
      <c r="H54" s="9">
        <f t="shared" si="3"/>
        <v>13.56</v>
      </c>
    </row>
    <row r="55" spans="1:8" ht="19.5" customHeight="1" x14ac:dyDescent="0.25">
      <c r="A55" s="3" t="s">
        <v>61</v>
      </c>
      <c r="B55" s="3">
        <v>1</v>
      </c>
      <c r="C55" s="3"/>
      <c r="D55" s="3"/>
      <c r="E55" s="4">
        <v>0.08</v>
      </c>
      <c r="F55" s="8">
        <f t="shared" si="2"/>
        <v>0.92</v>
      </c>
      <c r="G55" s="9">
        <v>15.6</v>
      </c>
      <c r="H55" s="9">
        <f t="shared" si="3"/>
        <v>14.352</v>
      </c>
    </row>
    <row r="56" spans="1:8" ht="19.5" customHeight="1" x14ac:dyDescent="0.25">
      <c r="A56" s="3" t="s">
        <v>62</v>
      </c>
      <c r="B56" s="4">
        <v>1</v>
      </c>
      <c r="C56" s="4"/>
      <c r="D56" s="4"/>
      <c r="E56" s="4"/>
      <c r="F56" s="8">
        <f t="shared" si="2"/>
        <v>1</v>
      </c>
      <c r="G56" s="9">
        <v>5.35</v>
      </c>
      <c r="H56" s="9">
        <f t="shared" si="3"/>
        <v>5.35</v>
      </c>
    </row>
    <row r="57" spans="1:8" ht="19.5" customHeight="1" x14ac:dyDescent="0.25">
      <c r="A57" s="3" t="s">
        <v>63</v>
      </c>
      <c r="B57" s="3">
        <v>7</v>
      </c>
      <c r="C57" s="3"/>
      <c r="D57" s="3"/>
      <c r="E57" s="4">
        <f>0.87+1.04+3</f>
        <v>4.91</v>
      </c>
      <c r="F57" s="8">
        <f t="shared" si="2"/>
        <v>2.09</v>
      </c>
      <c r="G57" s="9">
        <v>5.35</v>
      </c>
      <c r="H57" s="9">
        <f t="shared" si="3"/>
        <v>11.181499999999998</v>
      </c>
    </row>
    <row r="58" spans="1:8" ht="19.5" customHeight="1" x14ac:dyDescent="0.25">
      <c r="A58" s="3" t="s">
        <v>64</v>
      </c>
      <c r="B58" s="4"/>
      <c r="C58" s="4"/>
      <c r="D58" s="4"/>
      <c r="E58" s="4"/>
      <c r="F58" s="8">
        <f t="shared" si="2"/>
        <v>0</v>
      </c>
      <c r="G58" s="11"/>
      <c r="H58" s="9">
        <f t="shared" si="3"/>
        <v>0</v>
      </c>
    </row>
    <row r="59" spans="1:8" ht="19.5" customHeight="1" x14ac:dyDescent="0.25">
      <c r="A59" s="3" t="s">
        <v>65</v>
      </c>
      <c r="B59" s="4"/>
      <c r="C59" s="4"/>
      <c r="D59" s="4"/>
      <c r="E59" s="4"/>
      <c r="F59" s="8">
        <f t="shared" si="2"/>
        <v>0</v>
      </c>
      <c r="G59" s="11"/>
      <c r="H59" s="9">
        <f t="shared" si="3"/>
        <v>0</v>
      </c>
    </row>
    <row r="60" spans="1:8" ht="19.5" customHeight="1" x14ac:dyDescent="0.25">
      <c r="A60" s="3" t="s">
        <v>66</v>
      </c>
      <c r="B60" s="4">
        <v>0.42599999999999999</v>
      </c>
      <c r="C60" s="4"/>
      <c r="D60" s="4"/>
      <c r="E60" s="4">
        <f>0.58-0.172</f>
        <v>0.40799999999999997</v>
      </c>
      <c r="F60" s="8">
        <f t="shared" si="2"/>
        <v>1.8000000000000016E-2</v>
      </c>
      <c r="G60" s="11">
        <v>9.99</v>
      </c>
      <c r="H60" s="9">
        <f t="shared" si="3"/>
        <v>0.17982000000000017</v>
      </c>
    </row>
    <row r="61" spans="1:8" ht="19.5" customHeight="1" x14ac:dyDescent="0.25">
      <c r="A61" s="3" t="s">
        <v>67</v>
      </c>
      <c r="B61" s="4"/>
      <c r="C61" s="4"/>
      <c r="D61" s="4"/>
      <c r="E61" s="4"/>
      <c r="F61" s="8">
        <f t="shared" si="2"/>
        <v>0</v>
      </c>
      <c r="G61" s="11"/>
      <c r="H61" s="9">
        <f t="shared" si="3"/>
        <v>0</v>
      </c>
    </row>
    <row r="62" spans="1:8" ht="19.5" customHeight="1" x14ac:dyDescent="0.25">
      <c r="A62" s="3" t="s">
        <v>68</v>
      </c>
      <c r="B62" s="4"/>
      <c r="C62" s="4"/>
      <c r="D62" s="4"/>
      <c r="E62" s="4"/>
      <c r="F62" s="8">
        <f t="shared" si="2"/>
        <v>0</v>
      </c>
      <c r="G62" s="11"/>
      <c r="H62" s="9">
        <f t="shared" si="3"/>
        <v>0</v>
      </c>
    </row>
    <row r="63" spans="1:8" ht="19.5" customHeight="1" x14ac:dyDescent="0.25">
      <c r="A63" s="3" t="s">
        <v>69</v>
      </c>
      <c r="B63" s="4">
        <v>0.68</v>
      </c>
      <c r="C63" s="4">
        <v>1.1017999999999999</v>
      </c>
      <c r="D63" s="4"/>
      <c r="E63" s="4">
        <v>0.10199999999999999</v>
      </c>
      <c r="F63" s="8">
        <f t="shared" si="2"/>
        <v>1.6798</v>
      </c>
      <c r="G63" s="11">
        <v>4.33</v>
      </c>
      <c r="H63" s="9">
        <f t="shared" si="3"/>
        <v>7.2735339999999997</v>
      </c>
    </row>
    <row r="64" spans="1:8" ht="19.5" customHeight="1" x14ac:dyDescent="0.25">
      <c r="A64" s="3" t="s">
        <v>70</v>
      </c>
      <c r="B64" s="4">
        <v>45</v>
      </c>
      <c r="C64" s="4"/>
      <c r="D64" s="4"/>
      <c r="E64" s="4">
        <v>39</v>
      </c>
      <c r="F64" s="8">
        <f t="shared" si="2"/>
        <v>6</v>
      </c>
      <c r="G64" s="11">
        <v>0.84</v>
      </c>
      <c r="H64" s="9">
        <f t="shared" si="3"/>
        <v>5.04</v>
      </c>
    </row>
    <row r="65" spans="1:8" ht="19.5" customHeight="1" x14ac:dyDescent="0.25">
      <c r="A65" s="3" t="s">
        <v>71</v>
      </c>
      <c r="B65" s="4">
        <v>63</v>
      </c>
      <c r="C65" s="4"/>
      <c r="D65" s="4"/>
      <c r="E65" s="4">
        <v>32</v>
      </c>
      <c r="F65" s="8">
        <f t="shared" si="2"/>
        <v>31</v>
      </c>
      <c r="G65" s="11">
        <v>0.84</v>
      </c>
      <c r="H65" s="9">
        <f t="shared" si="3"/>
        <v>26.04</v>
      </c>
    </row>
    <row r="66" spans="1:8" ht="19.5" customHeight="1" x14ac:dyDescent="0.25">
      <c r="A66" s="3" t="s">
        <v>72</v>
      </c>
      <c r="B66" s="4">
        <v>30</v>
      </c>
      <c r="C66" s="4"/>
      <c r="D66" s="4"/>
      <c r="E66" s="4">
        <v>22</v>
      </c>
      <c r="F66" s="8">
        <f t="shared" si="2"/>
        <v>8</v>
      </c>
      <c r="G66" s="11">
        <v>0.52</v>
      </c>
      <c r="H66" s="9">
        <f t="shared" si="3"/>
        <v>4.16</v>
      </c>
    </row>
    <row r="67" spans="1:8" ht="19.5" customHeight="1" x14ac:dyDescent="0.25">
      <c r="A67" s="3" t="s">
        <v>73</v>
      </c>
      <c r="B67" s="4">
        <v>1.6639999999999999</v>
      </c>
      <c r="C67" s="4">
        <v>1.952</v>
      </c>
      <c r="D67" s="4"/>
      <c r="E67" s="4">
        <v>1.8220000000000001</v>
      </c>
      <c r="F67" s="8">
        <f t="shared" ref="F67:F98" si="4">B67+C67-E67</f>
        <v>1.7939999999999996</v>
      </c>
      <c r="G67" s="11">
        <v>3.19</v>
      </c>
      <c r="H67" s="9">
        <f t="shared" ref="H67:H98" si="5">F67*G67</f>
        <v>5.7228599999999989</v>
      </c>
    </row>
    <row r="68" spans="1:8" ht="19.5" customHeight="1" x14ac:dyDescent="0.25">
      <c r="A68" s="3" t="s">
        <v>74</v>
      </c>
      <c r="B68" s="3">
        <v>1.39</v>
      </c>
      <c r="C68" s="3">
        <v>0.94799999999999995</v>
      </c>
      <c r="D68" s="3"/>
      <c r="E68" s="4">
        <v>0.97199999999999998</v>
      </c>
      <c r="F68" s="8">
        <f t="shared" si="4"/>
        <v>1.3660000000000001</v>
      </c>
      <c r="G68" s="9">
        <v>10.6</v>
      </c>
      <c r="H68" s="9">
        <f t="shared" si="5"/>
        <v>14.479600000000001</v>
      </c>
    </row>
    <row r="69" spans="1:8" ht="19.5" customHeight="1" x14ac:dyDescent="0.25">
      <c r="A69" s="3" t="s">
        <v>75</v>
      </c>
      <c r="B69" s="3"/>
      <c r="C69" s="3"/>
      <c r="D69" s="3"/>
      <c r="E69" s="4"/>
      <c r="F69" s="8">
        <f t="shared" si="4"/>
        <v>0</v>
      </c>
      <c r="G69" s="9"/>
      <c r="H69" s="9">
        <f t="shared" si="5"/>
        <v>0</v>
      </c>
    </row>
    <row r="70" spans="1:8" ht="19.5" customHeight="1" x14ac:dyDescent="0.25">
      <c r="A70" s="4" t="s">
        <v>76</v>
      </c>
      <c r="B70" s="3">
        <f>2.302-0.746</f>
        <v>1.556</v>
      </c>
      <c r="C70" s="3"/>
      <c r="D70" s="3"/>
      <c r="E70" s="4">
        <f>1.276-0.746</f>
        <v>0.53</v>
      </c>
      <c r="F70" s="8">
        <f t="shared" si="4"/>
        <v>1.026</v>
      </c>
      <c r="G70" s="9">
        <v>8.1199999999999992</v>
      </c>
      <c r="H70" s="9">
        <f t="shared" si="5"/>
        <v>8.3311199999999985</v>
      </c>
    </row>
    <row r="71" spans="1:8" ht="19.5" customHeight="1" x14ac:dyDescent="0.25">
      <c r="A71" s="3" t="s">
        <v>77</v>
      </c>
      <c r="B71" s="3"/>
      <c r="C71" s="3"/>
      <c r="D71" s="3"/>
      <c r="E71" s="4"/>
      <c r="F71" s="8">
        <f t="shared" si="4"/>
        <v>0</v>
      </c>
      <c r="G71" s="9"/>
      <c r="H71" s="9">
        <f t="shared" si="5"/>
        <v>0</v>
      </c>
    </row>
    <row r="72" spans="1:8" ht="19.5" customHeight="1" x14ac:dyDescent="0.25">
      <c r="A72" s="3" t="s">
        <v>78</v>
      </c>
      <c r="B72" s="3"/>
      <c r="C72" s="3"/>
      <c r="D72" s="3"/>
      <c r="E72" s="4"/>
      <c r="F72" s="8">
        <f t="shared" si="4"/>
        <v>0</v>
      </c>
      <c r="G72" s="9"/>
      <c r="H72" s="9">
        <f t="shared" si="5"/>
        <v>0</v>
      </c>
    </row>
    <row r="73" spans="1:8" ht="19.5" customHeight="1" x14ac:dyDescent="0.25">
      <c r="A73" s="3" t="s">
        <v>79</v>
      </c>
      <c r="B73" s="3">
        <v>10</v>
      </c>
      <c r="C73" s="3"/>
      <c r="D73" s="3"/>
      <c r="E73" s="4">
        <v>7</v>
      </c>
      <c r="F73" s="8">
        <f t="shared" si="4"/>
        <v>3</v>
      </c>
      <c r="G73" s="9">
        <f>13.2/10</f>
        <v>1.3199999999999998</v>
      </c>
      <c r="H73" s="9">
        <f t="shared" si="5"/>
        <v>3.9599999999999995</v>
      </c>
    </row>
    <row r="74" spans="1:8" ht="19.5" customHeight="1" x14ac:dyDescent="0.25">
      <c r="A74" s="3" t="s">
        <v>80</v>
      </c>
      <c r="B74" s="3">
        <v>5</v>
      </c>
      <c r="C74" s="3"/>
      <c r="D74" s="3"/>
      <c r="E74" s="4">
        <v>2</v>
      </c>
      <c r="F74" s="8">
        <f t="shared" si="4"/>
        <v>3</v>
      </c>
      <c r="G74" s="9">
        <f>6.25/5</f>
        <v>1.25</v>
      </c>
      <c r="H74" s="9">
        <f t="shared" si="5"/>
        <v>3.75</v>
      </c>
    </row>
    <row r="75" spans="1:8" ht="19.5" customHeight="1" x14ac:dyDescent="0.25">
      <c r="A75" s="3" t="s">
        <v>81</v>
      </c>
      <c r="B75" s="3">
        <v>10</v>
      </c>
      <c r="C75" s="3"/>
      <c r="D75" s="3"/>
      <c r="E75" s="4">
        <v>8</v>
      </c>
      <c r="F75" s="8">
        <f t="shared" si="4"/>
        <v>2</v>
      </c>
      <c r="G75" s="9">
        <f>9.6/10</f>
        <v>0.96</v>
      </c>
      <c r="H75" s="9">
        <f t="shared" si="5"/>
        <v>1.92</v>
      </c>
    </row>
    <row r="76" spans="1:8" ht="19.5" customHeight="1" x14ac:dyDescent="0.25">
      <c r="A76" s="3" t="s">
        <v>82</v>
      </c>
      <c r="B76" s="3">
        <v>10</v>
      </c>
      <c r="C76" s="3"/>
      <c r="D76" s="3"/>
      <c r="E76" s="4">
        <v>10</v>
      </c>
      <c r="F76" s="8">
        <f t="shared" si="4"/>
        <v>0</v>
      </c>
      <c r="G76" s="9">
        <f>9.9/10</f>
        <v>0.99</v>
      </c>
      <c r="H76" s="9">
        <f t="shared" si="5"/>
        <v>0</v>
      </c>
    </row>
    <row r="77" spans="1:8" ht="19.5" customHeight="1" x14ac:dyDescent="0.25">
      <c r="A77" s="3" t="s">
        <v>83</v>
      </c>
      <c r="B77" s="3">
        <v>20</v>
      </c>
      <c r="C77" s="3"/>
      <c r="D77" s="3"/>
      <c r="E77" s="4">
        <v>10</v>
      </c>
      <c r="F77" s="8">
        <f t="shared" si="4"/>
        <v>10</v>
      </c>
      <c r="G77" s="9">
        <f>48.4/20</f>
        <v>2.42</v>
      </c>
      <c r="H77" s="9">
        <f t="shared" si="5"/>
        <v>24.2</v>
      </c>
    </row>
    <row r="78" spans="1:8" ht="19.5" customHeight="1" x14ac:dyDescent="0.25">
      <c r="A78" s="3" t="s">
        <v>84</v>
      </c>
      <c r="B78" s="3">
        <v>10</v>
      </c>
      <c r="C78" s="3"/>
      <c r="D78" s="3"/>
      <c r="E78" s="4">
        <v>10</v>
      </c>
      <c r="F78" s="8">
        <f t="shared" si="4"/>
        <v>0</v>
      </c>
      <c r="G78" s="9">
        <f>9.6/10</f>
        <v>0.96</v>
      </c>
      <c r="H78" s="9">
        <f t="shared" si="5"/>
        <v>0</v>
      </c>
    </row>
    <row r="79" spans="1:8" ht="19.5" customHeight="1" x14ac:dyDescent="0.25">
      <c r="A79" s="3" t="s">
        <v>85</v>
      </c>
      <c r="B79" s="3">
        <v>1</v>
      </c>
      <c r="C79" s="3"/>
      <c r="D79" s="3"/>
      <c r="E79" s="4">
        <v>0.5</v>
      </c>
      <c r="F79" s="8">
        <f t="shared" si="4"/>
        <v>0.5</v>
      </c>
      <c r="G79" s="9">
        <v>11.66</v>
      </c>
      <c r="H79" s="9">
        <f t="shared" si="5"/>
        <v>5.83</v>
      </c>
    </row>
    <row r="80" spans="1:8" ht="19.5" customHeight="1" x14ac:dyDescent="0.25">
      <c r="A80" s="3" t="s">
        <v>86</v>
      </c>
      <c r="B80" s="3">
        <v>10</v>
      </c>
      <c r="C80" s="3"/>
      <c r="D80" s="3"/>
      <c r="E80" s="4">
        <v>6</v>
      </c>
      <c r="F80" s="8">
        <f t="shared" si="4"/>
        <v>4</v>
      </c>
      <c r="G80" s="9">
        <f>13.2/10</f>
        <v>1.3199999999999998</v>
      </c>
      <c r="H80" s="9">
        <f t="shared" si="5"/>
        <v>5.2799999999999994</v>
      </c>
    </row>
    <row r="81" spans="1:8" ht="19.5" customHeight="1" x14ac:dyDescent="0.25">
      <c r="A81" s="3" t="s">
        <v>87</v>
      </c>
      <c r="B81" s="3">
        <v>20</v>
      </c>
      <c r="C81" s="3"/>
      <c r="D81" s="3"/>
      <c r="E81" s="4">
        <v>14</v>
      </c>
      <c r="F81" s="8">
        <f t="shared" si="4"/>
        <v>6</v>
      </c>
      <c r="G81" s="9">
        <f>27.6/20</f>
        <v>1.3800000000000001</v>
      </c>
      <c r="H81" s="9">
        <f t="shared" si="5"/>
        <v>8.2800000000000011</v>
      </c>
    </row>
    <row r="82" spans="1:8" ht="19.5" customHeight="1" x14ac:dyDescent="0.25">
      <c r="A82" s="3" t="s">
        <v>88</v>
      </c>
      <c r="B82" s="3">
        <v>20</v>
      </c>
      <c r="C82" s="3"/>
      <c r="D82" s="3"/>
      <c r="E82" s="4">
        <v>14</v>
      </c>
      <c r="F82" s="8">
        <f t="shared" si="4"/>
        <v>6</v>
      </c>
      <c r="G82" s="9">
        <f>16/20</f>
        <v>0.8</v>
      </c>
      <c r="H82" s="9">
        <f t="shared" si="5"/>
        <v>4.8000000000000007</v>
      </c>
    </row>
    <row r="83" spans="1:8" ht="19.5" customHeight="1" x14ac:dyDescent="0.25">
      <c r="A83" s="3" t="s">
        <v>89</v>
      </c>
      <c r="B83" s="3">
        <v>10</v>
      </c>
      <c r="C83" s="3"/>
      <c r="D83" s="3"/>
      <c r="E83" s="4">
        <v>7</v>
      </c>
      <c r="F83" s="8">
        <f t="shared" si="4"/>
        <v>3</v>
      </c>
      <c r="G83" s="9">
        <f>13.8/10</f>
        <v>1.3800000000000001</v>
      </c>
      <c r="H83" s="9">
        <f t="shared" si="5"/>
        <v>4.1400000000000006</v>
      </c>
    </row>
    <row r="84" spans="1:8" ht="19.5" customHeight="1" x14ac:dyDescent="0.25">
      <c r="A84" s="3" t="s">
        <v>90</v>
      </c>
      <c r="B84" s="3">
        <v>10</v>
      </c>
      <c r="C84" s="3"/>
      <c r="D84" s="3"/>
      <c r="E84" s="4">
        <v>8</v>
      </c>
      <c r="F84" s="8">
        <f t="shared" si="4"/>
        <v>2</v>
      </c>
      <c r="G84" s="9">
        <f>13.2/10</f>
        <v>1.3199999999999998</v>
      </c>
      <c r="H84" s="9">
        <f t="shared" si="5"/>
        <v>2.6399999999999997</v>
      </c>
    </row>
    <row r="85" spans="1:8" ht="19.5" customHeight="1" x14ac:dyDescent="0.25">
      <c r="A85" s="3" t="s">
        <v>91</v>
      </c>
      <c r="B85" s="3">
        <v>1</v>
      </c>
      <c r="C85" s="3"/>
      <c r="D85" s="3"/>
      <c r="E85" s="4">
        <v>1</v>
      </c>
      <c r="F85" s="8">
        <f t="shared" si="4"/>
        <v>0</v>
      </c>
      <c r="G85" s="9">
        <v>14.41</v>
      </c>
      <c r="H85" s="9">
        <f t="shared" si="5"/>
        <v>0</v>
      </c>
    </row>
    <row r="86" spans="1:8" ht="19.5" customHeight="1" x14ac:dyDescent="0.25">
      <c r="A86" s="3" t="s">
        <v>92</v>
      </c>
      <c r="B86" s="3">
        <v>10</v>
      </c>
      <c r="C86" s="3"/>
      <c r="D86" s="3"/>
      <c r="E86" s="4">
        <v>4</v>
      </c>
      <c r="F86" s="8">
        <f t="shared" si="4"/>
        <v>6</v>
      </c>
      <c r="G86" s="9">
        <f>9.9/10</f>
        <v>0.99</v>
      </c>
      <c r="H86" s="9">
        <f t="shared" si="5"/>
        <v>5.9399999999999995</v>
      </c>
    </row>
    <row r="87" spans="1:8" ht="19.5" customHeight="1" x14ac:dyDescent="0.25">
      <c r="A87" s="3" t="s">
        <v>93</v>
      </c>
      <c r="B87" s="3">
        <v>10</v>
      </c>
      <c r="C87" s="3"/>
      <c r="D87" s="3"/>
      <c r="E87" s="4">
        <v>9</v>
      </c>
      <c r="F87" s="8">
        <f t="shared" si="4"/>
        <v>1</v>
      </c>
      <c r="G87" s="9">
        <f>13.8/10</f>
        <v>1.3800000000000001</v>
      </c>
      <c r="H87" s="9">
        <f t="shared" si="5"/>
        <v>1.3800000000000001</v>
      </c>
    </row>
    <row r="88" spans="1:8" ht="19.5" customHeight="1" x14ac:dyDescent="0.25">
      <c r="A88" s="3" t="s">
        <v>94</v>
      </c>
      <c r="B88" s="3">
        <v>50</v>
      </c>
      <c r="C88" s="3"/>
      <c r="D88" s="3"/>
      <c r="E88" s="4">
        <v>27</v>
      </c>
      <c r="F88" s="8">
        <f t="shared" si="4"/>
        <v>23</v>
      </c>
      <c r="G88" s="9">
        <f>34/50</f>
        <v>0.68</v>
      </c>
      <c r="H88" s="9">
        <f t="shared" si="5"/>
        <v>15.64</v>
      </c>
    </row>
    <row r="89" spans="1:8" ht="19.5" customHeight="1" x14ac:dyDescent="0.25">
      <c r="A89" s="3" t="s">
        <v>95</v>
      </c>
      <c r="B89" s="3">
        <v>10</v>
      </c>
      <c r="C89" s="3"/>
      <c r="D89" s="3"/>
      <c r="E89" s="4">
        <v>2</v>
      </c>
      <c r="F89" s="8">
        <f t="shared" si="4"/>
        <v>8</v>
      </c>
      <c r="G89" s="9">
        <f>13.81</f>
        <v>13.81</v>
      </c>
      <c r="H89" s="9">
        <f t="shared" si="5"/>
        <v>110.48</v>
      </c>
    </row>
    <row r="90" spans="1:8" ht="19.5" customHeight="1" x14ac:dyDescent="0.25">
      <c r="A90" s="3" t="s">
        <v>96</v>
      </c>
      <c r="B90" s="3">
        <v>5</v>
      </c>
      <c r="C90" s="3"/>
      <c r="D90" s="3"/>
      <c r="E90" s="4">
        <v>5</v>
      </c>
      <c r="F90" s="8">
        <f t="shared" si="4"/>
        <v>0</v>
      </c>
      <c r="G90" s="9">
        <f>5.05/5</f>
        <v>1.01</v>
      </c>
      <c r="H90" s="9">
        <f t="shared" si="5"/>
        <v>0</v>
      </c>
    </row>
    <row r="91" spans="1:8" ht="19.5" customHeight="1" x14ac:dyDescent="0.25">
      <c r="A91" s="3" t="s">
        <v>97</v>
      </c>
      <c r="B91" s="3">
        <v>5</v>
      </c>
      <c r="C91" s="3"/>
      <c r="D91" s="3"/>
      <c r="E91" s="4">
        <v>5</v>
      </c>
      <c r="F91" s="8">
        <f t="shared" si="4"/>
        <v>0</v>
      </c>
      <c r="G91" s="9">
        <f>4.8/5</f>
        <v>0.96</v>
      </c>
      <c r="H91" s="9">
        <f t="shared" si="5"/>
        <v>0</v>
      </c>
    </row>
    <row r="92" spans="1:8" ht="19.5" customHeight="1" x14ac:dyDescent="0.25">
      <c r="A92" s="3" t="s">
        <v>98</v>
      </c>
      <c r="B92" s="3">
        <v>10</v>
      </c>
      <c r="C92" s="3"/>
      <c r="D92" s="3"/>
      <c r="E92" s="4">
        <v>10</v>
      </c>
      <c r="F92" s="8">
        <f t="shared" si="4"/>
        <v>0</v>
      </c>
      <c r="G92" s="9">
        <f>8.5/10</f>
        <v>0.85</v>
      </c>
      <c r="H92" s="9">
        <f t="shared" si="5"/>
        <v>0</v>
      </c>
    </row>
    <row r="93" spans="1:8" ht="19.5" customHeight="1" x14ac:dyDescent="0.25">
      <c r="A93" s="3" t="s">
        <v>99</v>
      </c>
      <c r="B93" s="3">
        <v>10</v>
      </c>
      <c r="C93" s="3"/>
      <c r="D93" s="3"/>
      <c r="E93" s="4">
        <v>8</v>
      </c>
      <c r="F93" s="8">
        <f t="shared" si="4"/>
        <v>2</v>
      </c>
      <c r="G93" s="9">
        <f>12.4/10</f>
        <v>1.24</v>
      </c>
      <c r="H93" s="9">
        <f t="shared" si="5"/>
        <v>2.48</v>
      </c>
    </row>
    <row r="94" spans="1:8" ht="19.5" customHeight="1" x14ac:dyDescent="0.25">
      <c r="A94" s="3" t="s">
        <v>100</v>
      </c>
      <c r="B94" s="3">
        <v>5</v>
      </c>
      <c r="C94" s="3"/>
      <c r="D94" s="3"/>
      <c r="E94" s="4">
        <v>2</v>
      </c>
      <c r="F94" s="8">
        <f t="shared" si="4"/>
        <v>3</v>
      </c>
      <c r="G94" s="9">
        <f>5.05/5</f>
        <v>1.01</v>
      </c>
      <c r="H94" s="9">
        <f t="shared" si="5"/>
        <v>3.0300000000000002</v>
      </c>
    </row>
    <row r="95" spans="1:8" ht="19.5" customHeight="1" x14ac:dyDescent="0.25">
      <c r="A95" s="3" t="s">
        <v>101</v>
      </c>
      <c r="B95" s="3">
        <v>10</v>
      </c>
      <c r="C95" s="3"/>
      <c r="D95" s="3"/>
      <c r="E95" s="4">
        <v>8</v>
      </c>
      <c r="F95" s="8">
        <f t="shared" si="4"/>
        <v>2</v>
      </c>
      <c r="G95" s="9">
        <f>13.2/10</f>
        <v>1.3199999999999998</v>
      </c>
      <c r="H95" s="9">
        <f t="shared" si="5"/>
        <v>2.6399999999999997</v>
      </c>
    </row>
    <row r="96" spans="1:8" ht="19.5" customHeight="1" x14ac:dyDescent="0.25">
      <c r="A96" s="3" t="s">
        <v>102</v>
      </c>
      <c r="B96" s="3">
        <v>5</v>
      </c>
      <c r="C96" s="3"/>
      <c r="D96" s="3"/>
      <c r="E96" s="4">
        <v>4</v>
      </c>
      <c r="F96" s="8">
        <f t="shared" si="4"/>
        <v>1</v>
      </c>
      <c r="G96" s="9">
        <f>6.05/5</f>
        <v>1.21</v>
      </c>
      <c r="H96" s="9">
        <f t="shared" si="5"/>
        <v>1.21</v>
      </c>
    </row>
    <row r="97" spans="1:8" ht="19.5" customHeight="1" x14ac:dyDescent="0.25">
      <c r="A97" s="3" t="s">
        <v>103</v>
      </c>
      <c r="B97" s="3">
        <v>10</v>
      </c>
      <c r="C97" s="3"/>
      <c r="D97" s="3"/>
      <c r="E97" s="4">
        <v>7</v>
      </c>
      <c r="F97" s="8">
        <f t="shared" si="4"/>
        <v>3</v>
      </c>
      <c r="G97" s="9">
        <f>13/10</f>
        <v>1.3</v>
      </c>
      <c r="H97" s="9">
        <f t="shared" si="5"/>
        <v>3.9000000000000004</v>
      </c>
    </row>
    <row r="98" spans="1:8" ht="19.5" customHeight="1" x14ac:dyDescent="0.25">
      <c r="A98" s="3" t="s">
        <v>104</v>
      </c>
      <c r="B98" s="3">
        <v>10</v>
      </c>
      <c r="C98" s="3"/>
      <c r="D98" s="3"/>
      <c r="E98" s="4">
        <v>10</v>
      </c>
      <c r="F98" s="8">
        <f t="shared" si="4"/>
        <v>0</v>
      </c>
      <c r="G98" s="9">
        <f>13.2/10</f>
        <v>1.3199999999999998</v>
      </c>
      <c r="H98" s="9">
        <f t="shared" si="5"/>
        <v>0</v>
      </c>
    </row>
    <row r="99" spans="1:8" ht="19.5" customHeight="1" x14ac:dyDescent="0.25">
      <c r="A99" s="3" t="s">
        <v>105</v>
      </c>
      <c r="B99" s="3">
        <v>10</v>
      </c>
      <c r="C99" s="3"/>
      <c r="D99" s="3"/>
      <c r="E99" s="4">
        <v>0</v>
      </c>
      <c r="F99" s="8">
        <f t="shared" ref="F99:F130" si="6">B99+C99-E99</f>
        <v>10</v>
      </c>
      <c r="G99" s="9">
        <f>13.2/10</f>
        <v>1.3199999999999998</v>
      </c>
      <c r="H99" s="9">
        <f t="shared" ref="H99:H130" si="7">F99*G99</f>
        <v>13.2</v>
      </c>
    </row>
    <row r="100" spans="1:8" ht="19.5" customHeight="1" x14ac:dyDescent="0.25">
      <c r="A100" s="3" t="s">
        <v>106</v>
      </c>
      <c r="B100" s="3">
        <v>5</v>
      </c>
      <c r="C100" s="3"/>
      <c r="D100" s="3"/>
      <c r="E100" s="4">
        <v>5</v>
      </c>
      <c r="F100" s="8">
        <f t="shared" si="6"/>
        <v>0</v>
      </c>
      <c r="G100" s="9">
        <f>5.4/5</f>
        <v>1.08</v>
      </c>
      <c r="H100" s="9">
        <f t="shared" si="7"/>
        <v>0</v>
      </c>
    </row>
    <row r="101" spans="1:8" ht="19.5" customHeight="1" x14ac:dyDescent="0.25">
      <c r="A101" s="3" t="s">
        <v>107</v>
      </c>
      <c r="B101" s="3">
        <v>5</v>
      </c>
      <c r="C101" s="3"/>
      <c r="D101" s="3"/>
      <c r="E101" s="4">
        <v>4</v>
      </c>
      <c r="F101" s="8">
        <f t="shared" si="6"/>
        <v>1</v>
      </c>
      <c r="G101" s="9">
        <f>6.05/5</f>
        <v>1.21</v>
      </c>
      <c r="H101" s="9">
        <f t="shared" si="7"/>
        <v>1.21</v>
      </c>
    </row>
    <row r="102" spans="1:8" ht="19.5" customHeight="1" x14ac:dyDescent="0.25">
      <c r="A102" s="3" t="s">
        <v>108</v>
      </c>
      <c r="B102" s="3">
        <v>5</v>
      </c>
      <c r="C102" s="3"/>
      <c r="D102" s="3"/>
      <c r="E102" s="4">
        <v>5</v>
      </c>
      <c r="F102" s="8">
        <f t="shared" si="6"/>
        <v>0</v>
      </c>
      <c r="G102" s="9">
        <f>6.25/5</f>
        <v>1.25</v>
      </c>
      <c r="H102" s="9">
        <f t="shared" si="7"/>
        <v>0</v>
      </c>
    </row>
    <row r="103" spans="1:8" ht="19.5" customHeight="1" x14ac:dyDescent="0.25">
      <c r="A103" s="3" t="s">
        <v>109</v>
      </c>
      <c r="B103" s="3">
        <v>10</v>
      </c>
      <c r="C103" s="3"/>
      <c r="D103" s="3"/>
      <c r="E103" s="4">
        <v>7</v>
      </c>
      <c r="F103" s="8">
        <f t="shared" si="6"/>
        <v>3</v>
      </c>
      <c r="G103" s="9">
        <f>13.2/10</f>
        <v>1.3199999999999998</v>
      </c>
      <c r="H103" s="9">
        <f t="shared" si="7"/>
        <v>3.9599999999999995</v>
      </c>
    </row>
    <row r="104" spans="1:8" ht="19.5" customHeight="1" x14ac:dyDescent="0.25">
      <c r="A104" s="3" t="s">
        <v>110</v>
      </c>
      <c r="B104" s="3">
        <v>5</v>
      </c>
      <c r="C104" s="3"/>
      <c r="D104" s="3"/>
      <c r="E104" s="4">
        <v>3</v>
      </c>
      <c r="F104" s="8">
        <f t="shared" si="6"/>
        <v>2</v>
      </c>
      <c r="G104" s="9">
        <f>4.95/5</f>
        <v>0.99</v>
      </c>
      <c r="H104" s="9">
        <f t="shared" si="7"/>
        <v>1.98</v>
      </c>
    </row>
    <row r="105" spans="1:8" ht="19.5" customHeight="1" x14ac:dyDescent="0.25">
      <c r="A105" s="3" t="s">
        <v>111</v>
      </c>
      <c r="B105" s="3">
        <v>20</v>
      </c>
      <c r="C105" s="3"/>
      <c r="D105" s="3"/>
      <c r="E105" s="4">
        <v>8</v>
      </c>
      <c r="F105" s="8">
        <f t="shared" si="6"/>
        <v>12</v>
      </c>
      <c r="G105" s="9">
        <f>25.4/20</f>
        <v>1.27</v>
      </c>
      <c r="H105" s="9">
        <f t="shared" si="7"/>
        <v>15.24</v>
      </c>
    </row>
    <row r="106" spans="1:8" ht="19.5" customHeight="1" x14ac:dyDescent="0.25">
      <c r="A106" s="3" t="s">
        <v>112</v>
      </c>
      <c r="B106" s="3">
        <v>10</v>
      </c>
      <c r="C106" s="3"/>
      <c r="D106" s="3"/>
      <c r="E106" s="4">
        <v>5</v>
      </c>
      <c r="F106" s="8">
        <f t="shared" si="6"/>
        <v>5</v>
      </c>
      <c r="G106" s="9">
        <f>13.8/10</f>
        <v>1.3800000000000001</v>
      </c>
      <c r="H106" s="9">
        <f t="shared" si="7"/>
        <v>6.9</v>
      </c>
    </row>
    <row r="107" spans="1:8" ht="19.5" customHeight="1" x14ac:dyDescent="0.25">
      <c r="A107" s="3" t="s">
        <v>113</v>
      </c>
      <c r="B107" s="3">
        <v>10</v>
      </c>
      <c r="C107" s="3"/>
      <c r="D107" s="3"/>
      <c r="E107" s="4">
        <v>4</v>
      </c>
      <c r="F107" s="8">
        <f t="shared" si="6"/>
        <v>6</v>
      </c>
      <c r="G107" s="9">
        <f>13.8/10</f>
        <v>1.3800000000000001</v>
      </c>
      <c r="H107" s="9">
        <f t="shared" si="7"/>
        <v>8.2800000000000011</v>
      </c>
    </row>
    <row r="108" spans="1:8" ht="19.5" customHeight="1" x14ac:dyDescent="0.25">
      <c r="A108" s="3" t="s">
        <v>114</v>
      </c>
      <c r="B108" s="3">
        <v>10</v>
      </c>
      <c r="C108" s="3"/>
      <c r="D108" s="3"/>
      <c r="E108" s="4">
        <v>8</v>
      </c>
      <c r="F108" s="8">
        <f t="shared" si="6"/>
        <v>2</v>
      </c>
      <c r="G108" s="9">
        <f>12.4/10</f>
        <v>1.24</v>
      </c>
      <c r="H108" s="9">
        <f t="shared" si="7"/>
        <v>2.48</v>
      </c>
    </row>
    <row r="109" spans="1:8" ht="19.5" customHeight="1" x14ac:dyDescent="0.25">
      <c r="A109" s="3" t="s">
        <v>115</v>
      </c>
      <c r="B109" s="3">
        <v>10</v>
      </c>
      <c r="C109" s="3"/>
      <c r="D109" s="3"/>
      <c r="E109" s="4">
        <v>9</v>
      </c>
      <c r="F109" s="8">
        <f t="shared" si="6"/>
        <v>1</v>
      </c>
      <c r="G109" s="9">
        <f>13.8/10</f>
        <v>1.3800000000000001</v>
      </c>
      <c r="H109" s="9">
        <f t="shared" si="7"/>
        <v>1.3800000000000001</v>
      </c>
    </row>
    <row r="110" spans="1:8" ht="19.5" customHeight="1" x14ac:dyDescent="0.25">
      <c r="A110" s="3" t="s">
        <v>116</v>
      </c>
      <c r="B110" s="3">
        <v>10</v>
      </c>
      <c r="C110" s="3"/>
      <c r="D110" s="3"/>
      <c r="E110" s="4">
        <v>7</v>
      </c>
      <c r="F110" s="8">
        <f t="shared" si="6"/>
        <v>3</v>
      </c>
      <c r="G110" s="9">
        <f>12.7/10</f>
        <v>1.27</v>
      </c>
      <c r="H110" s="9">
        <f t="shared" si="7"/>
        <v>3.81</v>
      </c>
    </row>
    <row r="111" spans="1:8" ht="19.5" customHeight="1" x14ac:dyDescent="0.25">
      <c r="A111" s="3" t="s">
        <v>117</v>
      </c>
      <c r="B111" s="4">
        <v>0.7</v>
      </c>
      <c r="C111" s="4"/>
      <c r="D111" s="4"/>
      <c r="E111" s="4">
        <v>0.252</v>
      </c>
      <c r="F111" s="12">
        <f t="shared" si="6"/>
        <v>0.44799999999999995</v>
      </c>
      <c r="G111" s="11">
        <v>41.9</v>
      </c>
      <c r="H111" s="11">
        <f t="shared" si="7"/>
        <v>18.771199999999997</v>
      </c>
    </row>
    <row r="112" spans="1:8" ht="19.5" customHeight="1" x14ac:dyDescent="0.25">
      <c r="A112" s="3" t="s">
        <v>118</v>
      </c>
      <c r="B112" s="3">
        <v>0.25</v>
      </c>
      <c r="C112" s="3"/>
      <c r="D112" s="3"/>
      <c r="E112" s="4">
        <v>0.23</v>
      </c>
      <c r="F112" s="8">
        <f t="shared" si="6"/>
        <v>1.999999999999999E-2</v>
      </c>
      <c r="G112" s="9">
        <v>56.07</v>
      </c>
      <c r="H112" s="9">
        <f t="shared" si="7"/>
        <v>1.1213999999999995</v>
      </c>
    </row>
    <row r="113" spans="1:8" ht="19.5" customHeight="1" x14ac:dyDescent="0.25">
      <c r="A113" s="3" t="s">
        <v>119</v>
      </c>
      <c r="B113" s="3">
        <v>0.27600000000000002</v>
      </c>
      <c r="C113" s="3"/>
      <c r="D113" s="3"/>
      <c r="E113" s="4">
        <f>0.532-0.268</f>
        <v>0.26400000000000001</v>
      </c>
      <c r="F113" s="8">
        <f t="shared" si="6"/>
        <v>1.2000000000000011E-2</v>
      </c>
      <c r="G113" s="9">
        <v>89.41</v>
      </c>
      <c r="H113" s="9">
        <f t="shared" si="7"/>
        <v>1.072920000000001</v>
      </c>
    </row>
    <row r="114" spans="1:8" ht="19.5" customHeight="1" x14ac:dyDescent="0.25">
      <c r="A114" s="3" t="s">
        <v>120</v>
      </c>
      <c r="B114" s="3">
        <v>1</v>
      </c>
      <c r="C114" s="3"/>
      <c r="D114" s="3"/>
      <c r="E114" s="4">
        <v>0</v>
      </c>
      <c r="F114" s="8">
        <f t="shared" si="6"/>
        <v>1</v>
      </c>
      <c r="G114" s="9">
        <f>0.5*2+0.82+0.12</f>
        <v>1.94</v>
      </c>
      <c r="H114" s="9">
        <f t="shared" si="7"/>
        <v>1.94</v>
      </c>
    </row>
    <row r="115" spans="1:8" ht="19.5" customHeight="1" x14ac:dyDescent="0.25">
      <c r="A115" s="4" t="s">
        <v>121</v>
      </c>
      <c r="B115" s="3">
        <v>1</v>
      </c>
      <c r="C115" s="3"/>
      <c r="D115" s="3"/>
      <c r="E115" s="4">
        <v>0</v>
      </c>
      <c r="F115" s="8">
        <f t="shared" si="6"/>
        <v>1</v>
      </c>
      <c r="G115" s="9">
        <f>0.5*2+0.73+0.09</f>
        <v>1.82</v>
      </c>
      <c r="H115" s="9">
        <f t="shared" si="7"/>
        <v>1.82</v>
      </c>
    </row>
    <row r="116" spans="1:8" ht="19.5" customHeight="1" x14ac:dyDescent="0.25">
      <c r="A116" s="4" t="s">
        <v>122</v>
      </c>
      <c r="B116" s="3">
        <v>5</v>
      </c>
      <c r="C116" s="3"/>
      <c r="D116" s="3"/>
      <c r="E116" s="4">
        <v>1.6160000000000001</v>
      </c>
      <c r="F116" s="8">
        <f t="shared" si="6"/>
        <v>3.3839999999999999</v>
      </c>
      <c r="G116" s="9">
        <v>16.899999999999999</v>
      </c>
      <c r="H116" s="9">
        <f t="shared" si="7"/>
        <v>57.189599999999992</v>
      </c>
    </row>
    <row r="117" spans="1:8" ht="19.5" customHeight="1" x14ac:dyDescent="0.25">
      <c r="A117" s="4" t="s">
        <v>123</v>
      </c>
      <c r="B117" s="3">
        <v>6</v>
      </c>
      <c r="C117" s="3"/>
      <c r="D117" s="3"/>
      <c r="E117" s="4">
        <v>0</v>
      </c>
      <c r="F117" s="8">
        <f t="shared" si="6"/>
        <v>6</v>
      </c>
      <c r="G117" s="9">
        <f>1</f>
        <v>1</v>
      </c>
      <c r="H117" s="9">
        <f t="shared" si="7"/>
        <v>6</v>
      </c>
    </row>
    <row r="118" spans="1:8" ht="19.5" customHeight="1" x14ac:dyDescent="0.25">
      <c r="A118" s="4" t="s">
        <v>124</v>
      </c>
      <c r="B118" s="3">
        <v>14</v>
      </c>
      <c r="C118" s="3"/>
      <c r="D118" s="3"/>
      <c r="E118" s="4">
        <v>10</v>
      </c>
      <c r="F118" s="8">
        <f t="shared" si="6"/>
        <v>4</v>
      </c>
      <c r="G118" s="9">
        <v>0.5</v>
      </c>
      <c r="H118" s="9">
        <f t="shared" si="7"/>
        <v>2</v>
      </c>
    </row>
    <row r="119" spans="1:8" ht="19.5" customHeight="1" x14ac:dyDescent="0.25">
      <c r="A119" s="3" t="s">
        <v>125</v>
      </c>
      <c r="B119" s="3"/>
      <c r="C119" s="3"/>
      <c r="D119" s="3"/>
      <c r="E119" s="4"/>
      <c r="F119" s="8">
        <f t="shared" si="6"/>
        <v>0</v>
      </c>
      <c r="G119" s="9"/>
      <c r="H119" s="9">
        <f t="shared" si="7"/>
        <v>0</v>
      </c>
    </row>
    <row r="120" spans="1:8" ht="19.5" customHeight="1" x14ac:dyDescent="0.25">
      <c r="A120" s="3" t="s">
        <v>126</v>
      </c>
      <c r="B120" s="3"/>
      <c r="C120" s="3"/>
      <c r="D120" s="3"/>
      <c r="E120" s="4"/>
      <c r="F120" s="8">
        <f t="shared" si="6"/>
        <v>0</v>
      </c>
      <c r="G120" s="9"/>
      <c r="H120" s="9">
        <f t="shared" si="7"/>
        <v>0</v>
      </c>
    </row>
    <row r="121" spans="1:8" ht="19.5" customHeight="1" x14ac:dyDescent="0.25">
      <c r="A121" s="3" t="s">
        <v>127</v>
      </c>
      <c r="B121" s="3">
        <f>2.032</f>
        <v>2.032</v>
      </c>
      <c r="C121" s="3">
        <f>2.062+0.722</f>
        <v>2.7839999999999998</v>
      </c>
      <c r="D121" s="3"/>
      <c r="E121" s="4">
        <v>1.9139999999999999</v>
      </c>
      <c r="F121" s="8">
        <f t="shared" si="6"/>
        <v>2.9020000000000001</v>
      </c>
      <c r="G121" s="9">
        <v>16.25</v>
      </c>
      <c r="H121" s="9">
        <f t="shared" si="7"/>
        <v>47.157499999999999</v>
      </c>
    </row>
    <row r="122" spans="1:8" ht="19.5" customHeight="1" x14ac:dyDescent="0.25">
      <c r="A122" s="3" t="s">
        <v>128</v>
      </c>
      <c r="B122" s="3">
        <v>15</v>
      </c>
      <c r="C122" s="3"/>
      <c r="D122" s="3"/>
      <c r="E122" s="4">
        <v>11</v>
      </c>
      <c r="F122" s="8">
        <f t="shared" si="6"/>
        <v>4</v>
      </c>
      <c r="G122" s="9">
        <v>2.08</v>
      </c>
      <c r="H122" s="9">
        <f t="shared" si="7"/>
        <v>8.32</v>
      </c>
    </row>
    <row r="123" spans="1:8" ht="19.5" customHeight="1" x14ac:dyDescent="0.25">
      <c r="A123" s="3" t="s">
        <v>129</v>
      </c>
      <c r="B123" s="3">
        <v>15</v>
      </c>
      <c r="C123" s="3"/>
      <c r="D123" s="3"/>
      <c r="E123" s="4">
        <v>8</v>
      </c>
      <c r="F123" s="8">
        <f t="shared" si="6"/>
        <v>7</v>
      </c>
      <c r="G123" s="9">
        <f>16/7.7</f>
        <v>2.0779220779220777</v>
      </c>
      <c r="H123" s="9">
        <f t="shared" si="7"/>
        <v>14.545454545454543</v>
      </c>
    </row>
    <row r="124" spans="1:8" ht="19.5" customHeight="1" x14ac:dyDescent="0.25">
      <c r="A124" s="3" t="s">
        <v>130</v>
      </c>
      <c r="B124" s="3"/>
      <c r="C124" s="3"/>
      <c r="D124" s="3"/>
      <c r="E124" s="4"/>
      <c r="F124" s="8">
        <f t="shared" si="6"/>
        <v>0</v>
      </c>
      <c r="G124" s="9"/>
      <c r="H124" s="9">
        <f t="shared" si="7"/>
        <v>0</v>
      </c>
    </row>
    <row r="125" spans="1:8" ht="19.5" customHeight="1" x14ac:dyDescent="0.25">
      <c r="A125" s="3" t="s">
        <v>131</v>
      </c>
      <c r="B125" s="3">
        <v>0.49399999999999999</v>
      </c>
      <c r="C125" s="3"/>
      <c r="D125" s="3"/>
      <c r="E125" s="4">
        <v>0.27</v>
      </c>
      <c r="F125" s="8">
        <f t="shared" si="6"/>
        <v>0.22399999999999998</v>
      </c>
      <c r="G125" s="9">
        <v>44.41</v>
      </c>
      <c r="H125" s="9">
        <f t="shared" si="7"/>
        <v>9.9478399999999976</v>
      </c>
    </row>
    <row r="126" spans="1:8" ht="19.5" customHeight="1" x14ac:dyDescent="0.25">
      <c r="A126" s="3" t="s">
        <v>132</v>
      </c>
      <c r="B126" s="3"/>
      <c r="C126" s="3"/>
      <c r="D126" s="3"/>
      <c r="E126" s="4"/>
      <c r="F126" s="8">
        <f t="shared" si="6"/>
        <v>0</v>
      </c>
      <c r="G126" s="9"/>
      <c r="H126" s="9">
        <f t="shared" si="7"/>
        <v>0</v>
      </c>
    </row>
    <row r="127" spans="1:8" ht="19.5" customHeight="1" x14ac:dyDescent="0.25">
      <c r="A127" s="3" t="s">
        <v>133</v>
      </c>
      <c r="B127" s="3">
        <v>0.70599999999999996</v>
      </c>
      <c r="C127" s="3"/>
      <c r="D127" s="3"/>
      <c r="E127" s="4">
        <v>0.34200000000000003</v>
      </c>
      <c r="F127" s="8">
        <f t="shared" si="6"/>
        <v>0.36399999999999993</v>
      </c>
      <c r="G127" s="9">
        <v>28.9</v>
      </c>
      <c r="H127" s="9">
        <f t="shared" si="7"/>
        <v>10.519599999999997</v>
      </c>
    </row>
    <row r="128" spans="1:8" ht="19.5" customHeight="1" x14ac:dyDescent="0.25">
      <c r="A128" s="3" t="s">
        <v>134</v>
      </c>
      <c r="B128" s="3">
        <v>0.97599999999999998</v>
      </c>
      <c r="C128" s="3"/>
      <c r="D128" s="3"/>
      <c r="E128" s="4">
        <v>0.21299999999999999</v>
      </c>
      <c r="F128" s="8">
        <f t="shared" si="6"/>
        <v>0.76300000000000001</v>
      </c>
      <c r="G128" s="9">
        <v>36.65</v>
      </c>
      <c r="H128" s="9">
        <f t="shared" si="7"/>
        <v>27.963950000000001</v>
      </c>
    </row>
    <row r="129" spans="1:15" ht="19.5" customHeight="1" x14ac:dyDescent="0.25">
      <c r="A129" s="3" t="s">
        <v>135</v>
      </c>
      <c r="B129" s="3">
        <v>0.7</v>
      </c>
      <c r="C129" s="3"/>
      <c r="D129" s="3"/>
      <c r="E129" s="4">
        <v>0.23</v>
      </c>
      <c r="F129" s="8">
        <f t="shared" si="6"/>
        <v>0.47</v>
      </c>
      <c r="G129" s="9">
        <v>41.78</v>
      </c>
      <c r="H129" s="9">
        <f t="shared" si="7"/>
        <v>19.636599999999998</v>
      </c>
    </row>
    <row r="130" spans="1:15" ht="19.5" customHeight="1" x14ac:dyDescent="0.25">
      <c r="A130" s="4" t="s">
        <v>136</v>
      </c>
      <c r="B130" s="3">
        <f>1.67-0.804</f>
        <v>0.86599999999999988</v>
      </c>
      <c r="C130" s="3"/>
      <c r="D130" s="3"/>
      <c r="E130" s="4">
        <f>1.152-0.804</f>
        <v>0.34799999999999986</v>
      </c>
      <c r="F130" s="8">
        <f t="shared" si="6"/>
        <v>0.51800000000000002</v>
      </c>
      <c r="G130" s="9">
        <v>11.85</v>
      </c>
      <c r="H130" s="9">
        <f t="shared" si="7"/>
        <v>6.1383000000000001</v>
      </c>
    </row>
    <row r="131" spans="1:15" ht="19.5" customHeight="1" x14ac:dyDescent="0.25">
      <c r="A131" s="4" t="s">
        <v>137</v>
      </c>
      <c r="B131" s="3">
        <v>2.93</v>
      </c>
      <c r="C131" s="3"/>
      <c r="D131" s="3"/>
      <c r="E131" s="4">
        <v>0.57799999999999996</v>
      </c>
      <c r="F131" s="8">
        <f t="shared" ref="F131:F143" si="8">B131+C131-E131</f>
        <v>2.3520000000000003</v>
      </c>
      <c r="G131" s="9"/>
      <c r="H131" s="9">
        <f t="shared" ref="H131:H143" si="9">F131*G131</f>
        <v>0</v>
      </c>
    </row>
    <row r="132" spans="1:15" ht="19.5" customHeight="1" x14ac:dyDescent="0.25">
      <c r="A132" s="13" t="s">
        <v>138</v>
      </c>
      <c r="B132" s="5"/>
      <c r="C132" s="5"/>
      <c r="D132" s="5"/>
      <c r="E132" s="13"/>
      <c r="F132" s="14">
        <f t="shared" si="8"/>
        <v>0</v>
      </c>
      <c r="G132" s="9"/>
      <c r="H132" s="9">
        <f t="shared" si="9"/>
        <v>0</v>
      </c>
    </row>
    <row r="133" spans="1:15" ht="19.5" customHeight="1" x14ac:dyDescent="0.25">
      <c r="A133" s="4" t="s">
        <v>139</v>
      </c>
      <c r="B133" s="3">
        <f>3.624-0.998</f>
        <v>2.6260000000000003</v>
      </c>
      <c r="C133" s="3"/>
      <c r="D133" s="3"/>
      <c r="E133" s="4">
        <f>2.474-0.998</f>
        <v>1.4760000000000002</v>
      </c>
      <c r="F133" s="14">
        <f t="shared" si="8"/>
        <v>1.1500000000000001</v>
      </c>
      <c r="G133" s="9">
        <v>7.61</v>
      </c>
      <c r="H133" s="9">
        <f t="shared" si="9"/>
        <v>8.7515000000000018</v>
      </c>
    </row>
    <row r="134" spans="1:15" ht="19.5" customHeight="1" x14ac:dyDescent="0.25">
      <c r="A134" s="3" t="s">
        <v>140</v>
      </c>
      <c r="B134" s="3"/>
      <c r="C134" s="3"/>
      <c r="D134" s="3"/>
      <c r="E134" s="4"/>
      <c r="F134" s="14">
        <f t="shared" si="8"/>
        <v>0</v>
      </c>
      <c r="G134" s="9"/>
      <c r="H134" s="9">
        <f t="shared" si="9"/>
        <v>0</v>
      </c>
    </row>
    <row r="135" spans="1:15" ht="19.5" customHeight="1" x14ac:dyDescent="0.25">
      <c r="A135" s="3" t="s">
        <v>141</v>
      </c>
      <c r="B135" s="3">
        <v>5</v>
      </c>
      <c r="C135" s="3"/>
      <c r="D135" s="3"/>
      <c r="E135" s="4">
        <v>2.5</v>
      </c>
      <c r="F135" s="14">
        <f t="shared" si="8"/>
        <v>2.5</v>
      </c>
      <c r="G135" s="9">
        <f>3.19*3</f>
        <v>9.57</v>
      </c>
      <c r="H135" s="9">
        <f t="shared" si="9"/>
        <v>23.925000000000001</v>
      </c>
    </row>
    <row r="136" spans="1:15" ht="19.5" customHeight="1" x14ac:dyDescent="0.25">
      <c r="A136" s="3" t="s">
        <v>142</v>
      </c>
      <c r="B136" s="3">
        <v>5</v>
      </c>
      <c r="C136" s="3"/>
      <c r="D136" s="3"/>
      <c r="E136" s="4">
        <v>0.84199999999999997</v>
      </c>
      <c r="F136" s="14">
        <f t="shared" si="8"/>
        <v>4.1580000000000004</v>
      </c>
      <c r="G136" s="9">
        <f>30.85/5</f>
        <v>6.17</v>
      </c>
      <c r="H136" s="9">
        <f t="shared" si="9"/>
        <v>25.654860000000003</v>
      </c>
    </row>
    <row r="137" spans="1:15" ht="19.5" customHeight="1" x14ac:dyDescent="0.25">
      <c r="A137" s="3" t="s">
        <v>143</v>
      </c>
      <c r="B137" s="3">
        <v>2</v>
      </c>
      <c r="C137" s="3">
        <f>1.5+1+1.022</f>
        <v>3.5220000000000002</v>
      </c>
      <c r="D137" s="3"/>
      <c r="E137" s="4">
        <v>1.022</v>
      </c>
      <c r="F137" s="14">
        <f t="shared" si="8"/>
        <v>4.5</v>
      </c>
      <c r="G137" s="9">
        <v>8.84</v>
      </c>
      <c r="H137" s="9">
        <f t="shared" si="9"/>
        <v>39.78</v>
      </c>
    </row>
    <row r="138" spans="1:15" ht="19.5" customHeight="1" x14ac:dyDescent="0.25">
      <c r="A138" s="3" t="s">
        <v>144</v>
      </c>
      <c r="B138" s="3">
        <v>0.318</v>
      </c>
      <c r="C138" s="3"/>
      <c r="D138" s="3"/>
      <c r="E138" s="4">
        <f>0.552-0.336</f>
        <v>0.21600000000000003</v>
      </c>
      <c r="F138" s="14">
        <f t="shared" si="8"/>
        <v>0.10199999999999998</v>
      </c>
      <c r="G138" s="9">
        <v>49.63</v>
      </c>
      <c r="H138" s="9">
        <f t="shared" si="9"/>
        <v>5.0622599999999993</v>
      </c>
    </row>
    <row r="139" spans="1:15" ht="19.5" customHeight="1" x14ac:dyDescent="0.25">
      <c r="A139" s="3" t="s">
        <v>145</v>
      </c>
      <c r="B139" s="3">
        <v>1</v>
      </c>
      <c r="C139" s="3"/>
      <c r="D139" s="3"/>
      <c r="E139" s="4">
        <v>0</v>
      </c>
      <c r="F139" s="14">
        <f t="shared" si="8"/>
        <v>1</v>
      </c>
      <c r="G139" s="9">
        <f>6.66*2/10+1</f>
        <v>2.3319999999999999</v>
      </c>
      <c r="H139" s="9">
        <f t="shared" si="9"/>
        <v>2.3319999999999999</v>
      </c>
    </row>
    <row r="140" spans="1:15" ht="19.5" customHeight="1" x14ac:dyDescent="0.25">
      <c r="A140" s="4" t="s">
        <v>146</v>
      </c>
      <c r="B140" s="3">
        <f>1.888-0.66</f>
        <v>1.2279999999999998</v>
      </c>
      <c r="C140" s="3"/>
      <c r="D140" s="3"/>
      <c r="E140" s="4">
        <f>1.434-0.66</f>
        <v>0.77399999999999991</v>
      </c>
      <c r="F140" s="14">
        <f t="shared" si="8"/>
        <v>0.45399999999999985</v>
      </c>
      <c r="G140" s="9">
        <v>5.95</v>
      </c>
      <c r="H140" s="9">
        <f t="shared" si="9"/>
        <v>2.7012999999999994</v>
      </c>
    </row>
    <row r="141" spans="1:15" ht="19.5" customHeight="1" x14ac:dyDescent="0.25">
      <c r="A141" s="3" t="s">
        <v>147</v>
      </c>
      <c r="B141" s="3">
        <v>0.33</v>
      </c>
      <c r="C141" s="3"/>
      <c r="D141" s="3"/>
      <c r="E141" s="4">
        <f>0.458-0.172</f>
        <v>0.28600000000000003</v>
      </c>
      <c r="F141" s="14">
        <f t="shared" si="8"/>
        <v>4.3999999999999984E-2</v>
      </c>
      <c r="G141" s="9">
        <v>19.100000000000001</v>
      </c>
      <c r="H141" s="9">
        <f t="shared" si="9"/>
        <v>0.8403999999999997</v>
      </c>
    </row>
    <row r="142" spans="1:15" ht="19.5" customHeight="1" x14ac:dyDescent="0.25">
      <c r="A142" s="3" t="s">
        <v>148</v>
      </c>
      <c r="B142" s="3"/>
      <c r="C142" s="3"/>
      <c r="D142" s="3"/>
      <c r="E142" s="4"/>
      <c r="F142" s="14">
        <f t="shared" si="8"/>
        <v>0</v>
      </c>
      <c r="G142" s="9"/>
      <c r="H142" s="9">
        <f t="shared" si="9"/>
        <v>0</v>
      </c>
    </row>
    <row r="143" spans="1:15" ht="19.5" customHeight="1" x14ac:dyDescent="0.25">
      <c r="A143" s="4" t="s">
        <v>149</v>
      </c>
      <c r="B143" s="3">
        <f>1.09-0.844</f>
        <v>0.24600000000000011</v>
      </c>
      <c r="C143" s="3"/>
      <c r="D143" s="3"/>
      <c r="E143" s="4">
        <f>1.076-0.844</f>
        <v>0.2320000000000001</v>
      </c>
      <c r="F143" s="8">
        <f t="shared" si="8"/>
        <v>1.4000000000000012E-2</v>
      </c>
      <c r="G143" s="9">
        <v>0.99</v>
      </c>
      <c r="H143" s="9">
        <f t="shared" si="9"/>
        <v>1.3860000000000013E-2</v>
      </c>
      <c r="M143" s="15"/>
    </row>
    <row r="144" spans="1:15" ht="19.5" customHeight="1" x14ac:dyDescent="0.25">
      <c r="G144" s="16" t="s">
        <v>150</v>
      </c>
      <c r="H144" s="17">
        <f>SUM(H3:H143)</f>
        <v>1103.5386252121214</v>
      </c>
      <c r="O144" s="15"/>
    </row>
    <row r="145" spans="1:8" ht="19.5" customHeight="1" x14ac:dyDescent="0.25">
      <c r="A145" s="18" t="s">
        <v>151</v>
      </c>
      <c r="B145" s="18" t="s">
        <v>152</v>
      </c>
      <c r="C145" s="18" t="s">
        <v>153</v>
      </c>
      <c r="D145" s="19" t="s">
        <v>154</v>
      </c>
      <c r="E145" s="20" t="s">
        <v>150</v>
      </c>
      <c r="H145" s="15"/>
    </row>
    <row r="146" spans="1:8" ht="19.5" customHeight="1" x14ac:dyDescent="0.25">
      <c r="A146" s="19"/>
      <c r="B146" s="19">
        <v>73</v>
      </c>
      <c r="C146" s="21">
        <v>46</v>
      </c>
      <c r="D146" s="21"/>
      <c r="E146" s="22">
        <f>B146*C146</f>
        <v>3358</v>
      </c>
      <c r="G146" s="23" t="s">
        <v>155</v>
      </c>
      <c r="H146" s="24">
        <f>H144/E149</f>
        <v>0.28941479811490201</v>
      </c>
    </row>
    <row r="147" spans="1:8" ht="19.5" customHeight="1" x14ac:dyDescent="0.25">
      <c r="A147" s="18" t="s">
        <v>156</v>
      </c>
      <c r="B147" s="18" t="s">
        <v>152</v>
      </c>
      <c r="C147" s="18" t="s">
        <v>153</v>
      </c>
      <c r="D147" s="21" t="e">
        <f>B147*C147</f>
        <v>#VALUE!</v>
      </c>
    </row>
    <row r="148" spans="1:8" ht="19.5" customHeight="1" x14ac:dyDescent="0.25">
      <c r="A148" s="19"/>
      <c r="B148" s="19">
        <v>7</v>
      </c>
      <c r="C148" s="21">
        <v>65</v>
      </c>
      <c r="D148" s="21">
        <f>B148*C148</f>
        <v>455</v>
      </c>
      <c r="E148" s="22">
        <f>C148*B148</f>
        <v>455</v>
      </c>
    </row>
    <row r="149" spans="1:8" ht="19.5" customHeight="1" x14ac:dyDescent="0.25">
      <c r="E149" s="25">
        <f>E146+E148</f>
        <v>3813</v>
      </c>
    </row>
    <row r="150" spans="1:8" ht="19.5" customHeight="1" x14ac:dyDescent="0.25"/>
    <row r="151" spans="1:8" ht="19.5" customHeight="1" x14ac:dyDescent="0.25"/>
    <row r="152" spans="1:8" ht="19.5" customHeight="1" x14ac:dyDescent="0.25"/>
    <row r="153" spans="1:8" ht="19.5" customHeight="1" x14ac:dyDescent="0.25"/>
    <row r="154" spans="1:8" ht="19.5" customHeight="1" x14ac:dyDescent="0.25"/>
    <row r="155" spans="1:8" ht="19.5" customHeight="1" x14ac:dyDescent="0.25"/>
    <row r="156" spans="1:8" ht="19.5" customHeight="1" x14ac:dyDescent="0.25"/>
    <row r="157" spans="1:8" ht="19.5" customHeight="1" x14ac:dyDescent="0.25"/>
    <row r="158" spans="1:8" ht="19.5" customHeight="1" x14ac:dyDescent="0.25"/>
  </sheetData>
  <mergeCells count="1">
    <mergeCell ref="A1:B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topLeftCell="A4" zoomScaleNormal="100" workbookViewId="0">
      <selection activeCell="H32" sqref="H32"/>
    </sheetView>
  </sheetViews>
  <sheetFormatPr defaultColWidth="8.7109375" defaultRowHeight="15" x14ac:dyDescent="0.25"/>
  <cols>
    <col min="1" max="1" width="41.28515625" customWidth="1"/>
    <col min="2" max="2" width="12.42578125" customWidth="1"/>
    <col min="3" max="3" width="11.140625" customWidth="1"/>
    <col min="4" max="4" width="12.5703125" customWidth="1"/>
    <col min="5" max="5" width="6.85546875" customWidth="1"/>
    <col min="6" max="6" width="10.7109375" customWidth="1"/>
    <col min="7" max="7" width="10.5703125" customWidth="1"/>
    <col min="8" max="8" width="11.7109375" customWidth="1"/>
  </cols>
  <sheetData>
    <row r="1" spans="1:9" ht="15" customHeight="1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6" t="s">
        <v>7</v>
      </c>
      <c r="H1" s="6" t="s">
        <v>8</v>
      </c>
    </row>
    <row r="2" spans="1:9" ht="15" customHeight="1" x14ac:dyDescent="0.25">
      <c r="A2" s="3" t="s">
        <v>9</v>
      </c>
      <c r="B2" s="3">
        <v>0.86799999999999999</v>
      </c>
      <c r="C2" s="3"/>
      <c r="D2" s="3"/>
      <c r="E2" s="4">
        <v>0.44800000000000001</v>
      </c>
      <c r="F2" s="8">
        <f t="shared" ref="F2:F35" si="0">B2+C2-E2</f>
        <v>0.42</v>
      </c>
      <c r="G2" s="9">
        <v>4.05</v>
      </c>
      <c r="H2" s="9">
        <f t="shared" ref="H2:H35" si="1">F2*G2</f>
        <v>1.7009999999999998</v>
      </c>
      <c r="I2" t="s">
        <v>157</v>
      </c>
    </row>
    <row r="3" spans="1:9" ht="15" customHeight="1" x14ac:dyDescent="0.25">
      <c r="A3" s="4" t="s">
        <v>23</v>
      </c>
      <c r="B3" s="3">
        <v>1.3180000000000001</v>
      </c>
      <c r="C3" s="3"/>
      <c r="D3" s="3"/>
      <c r="E3" s="4">
        <v>0.64600000000000002</v>
      </c>
      <c r="F3" s="8">
        <f t="shared" si="0"/>
        <v>0.67200000000000004</v>
      </c>
      <c r="G3" s="9">
        <v>5.36</v>
      </c>
      <c r="H3" s="9">
        <f t="shared" si="1"/>
        <v>3.6019200000000002</v>
      </c>
      <c r="I3" t="s">
        <v>157</v>
      </c>
    </row>
    <row r="4" spans="1:9" ht="15" customHeight="1" x14ac:dyDescent="0.25">
      <c r="A4" s="4" t="s">
        <v>24</v>
      </c>
      <c r="B4" s="3">
        <v>1.64</v>
      </c>
      <c r="C4" s="3"/>
      <c r="D4" s="3"/>
      <c r="E4" s="4">
        <v>0.38600000000000001</v>
      </c>
      <c r="F4" s="8">
        <f t="shared" si="0"/>
        <v>1.254</v>
      </c>
      <c r="G4" s="9">
        <v>7.01</v>
      </c>
      <c r="H4" s="9">
        <f t="shared" si="1"/>
        <v>8.79054</v>
      </c>
      <c r="I4" t="s">
        <v>157</v>
      </c>
    </row>
    <row r="5" spans="1:9" ht="15" customHeight="1" x14ac:dyDescent="0.25">
      <c r="A5" s="3" t="s">
        <v>30</v>
      </c>
      <c r="B5" s="3">
        <v>1.272</v>
      </c>
      <c r="C5" s="3"/>
      <c r="D5" s="3"/>
      <c r="E5" s="4">
        <v>0.67200000000000004</v>
      </c>
      <c r="F5" s="8">
        <f t="shared" si="0"/>
        <v>0.6</v>
      </c>
      <c r="G5" s="9">
        <v>18.989999999999998</v>
      </c>
      <c r="H5" s="9">
        <f t="shared" si="1"/>
        <v>11.393999999999998</v>
      </c>
      <c r="I5" t="s">
        <v>157</v>
      </c>
    </row>
    <row r="6" spans="1:9" ht="15" customHeight="1" x14ac:dyDescent="0.25">
      <c r="A6" s="3" t="s">
        <v>41</v>
      </c>
      <c r="B6" s="3">
        <v>0.96799999999999997</v>
      </c>
      <c r="C6" s="3"/>
      <c r="D6" s="3"/>
      <c r="E6" s="4">
        <v>0.52200000000000002</v>
      </c>
      <c r="F6" s="8">
        <f t="shared" si="0"/>
        <v>0.44599999999999995</v>
      </c>
      <c r="G6" s="9">
        <v>107.52</v>
      </c>
      <c r="H6" s="9">
        <f t="shared" si="1"/>
        <v>47.953919999999997</v>
      </c>
      <c r="I6" t="s">
        <v>157</v>
      </c>
    </row>
    <row r="7" spans="1:9" ht="15" customHeight="1" x14ac:dyDescent="0.25">
      <c r="A7" s="26" t="s">
        <v>50</v>
      </c>
      <c r="B7" s="26">
        <v>2</v>
      </c>
      <c r="C7" s="26">
        <v>1.5</v>
      </c>
      <c r="D7" s="26"/>
      <c r="E7" s="4">
        <v>0.5</v>
      </c>
      <c r="F7" s="27">
        <f t="shared" si="0"/>
        <v>3</v>
      </c>
      <c r="G7" s="26">
        <f>4.05+3.66+1.9+0.28+8.84*3</f>
        <v>36.409999999999997</v>
      </c>
      <c r="H7" s="28">
        <f t="shared" si="1"/>
        <v>109.22999999999999</v>
      </c>
      <c r="I7" t="s">
        <v>157</v>
      </c>
    </row>
    <row r="8" spans="1:9" ht="15" customHeight="1" x14ac:dyDescent="0.25">
      <c r="A8" s="3" t="s">
        <v>61</v>
      </c>
      <c r="B8" s="3">
        <v>1</v>
      </c>
      <c r="C8" s="3"/>
      <c r="D8" s="3"/>
      <c r="E8" s="4">
        <v>0.08</v>
      </c>
      <c r="F8" s="8">
        <f t="shared" si="0"/>
        <v>0.92</v>
      </c>
      <c r="G8" s="9">
        <v>15.6</v>
      </c>
      <c r="H8" s="9">
        <f t="shared" si="1"/>
        <v>14.352</v>
      </c>
      <c r="I8" t="s">
        <v>157</v>
      </c>
    </row>
    <row r="9" spans="1:9" ht="15" customHeight="1" x14ac:dyDescent="0.25">
      <c r="A9" s="3" t="s">
        <v>63</v>
      </c>
      <c r="B9" s="3">
        <v>7</v>
      </c>
      <c r="C9" s="3"/>
      <c r="D9" s="3"/>
      <c r="E9" s="4">
        <f>0.87+1.04+3</f>
        <v>4.91</v>
      </c>
      <c r="F9" s="8">
        <f t="shared" si="0"/>
        <v>2.09</v>
      </c>
      <c r="G9" s="9">
        <v>5.35</v>
      </c>
      <c r="H9" s="9">
        <f t="shared" si="1"/>
        <v>11.181499999999998</v>
      </c>
      <c r="I9" t="s">
        <v>157</v>
      </c>
    </row>
    <row r="10" spans="1:9" ht="15" customHeight="1" x14ac:dyDescent="0.25">
      <c r="A10" s="3" t="s">
        <v>69</v>
      </c>
      <c r="B10" s="4">
        <v>0.68</v>
      </c>
      <c r="C10" s="4">
        <v>1.1017999999999999</v>
      </c>
      <c r="D10" s="4"/>
      <c r="E10" s="4">
        <v>0.10199999999999999</v>
      </c>
      <c r="F10" s="8">
        <f t="shared" si="0"/>
        <v>1.6798</v>
      </c>
      <c r="G10" s="11">
        <v>4.33</v>
      </c>
      <c r="H10" s="9">
        <f t="shared" si="1"/>
        <v>7.2735339999999997</v>
      </c>
      <c r="I10" t="s">
        <v>157</v>
      </c>
    </row>
    <row r="11" spans="1:9" ht="15" customHeight="1" x14ac:dyDescent="0.25">
      <c r="A11" s="3" t="s">
        <v>73</v>
      </c>
      <c r="B11" s="4">
        <v>1.6639999999999999</v>
      </c>
      <c r="C11" s="4">
        <v>1.952</v>
      </c>
      <c r="D11" s="4"/>
      <c r="E11" s="4">
        <v>1.8220000000000001</v>
      </c>
      <c r="F11" s="8">
        <f t="shared" si="0"/>
        <v>1.7939999999999996</v>
      </c>
      <c r="G11" s="11">
        <v>3.19</v>
      </c>
      <c r="H11" s="9">
        <f t="shared" si="1"/>
        <v>5.7228599999999989</v>
      </c>
      <c r="I11" t="s">
        <v>157</v>
      </c>
    </row>
    <row r="12" spans="1:9" ht="15" customHeight="1" x14ac:dyDescent="0.25">
      <c r="A12" s="3" t="s">
        <v>74</v>
      </c>
      <c r="B12" s="3">
        <v>1.39</v>
      </c>
      <c r="C12" s="3">
        <v>0.94799999999999995</v>
      </c>
      <c r="D12" s="3"/>
      <c r="E12" s="4">
        <v>0.97199999999999998</v>
      </c>
      <c r="F12" s="8">
        <f t="shared" si="0"/>
        <v>1.3660000000000001</v>
      </c>
      <c r="G12" s="9">
        <v>10.6</v>
      </c>
      <c r="H12" s="9">
        <f t="shared" si="1"/>
        <v>14.479600000000001</v>
      </c>
      <c r="I12" t="s">
        <v>157</v>
      </c>
    </row>
    <row r="13" spans="1:9" ht="15" customHeight="1" x14ac:dyDescent="0.25">
      <c r="A13" s="4" t="s">
        <v>76</v>
      </c>
      <c r="B13" s="3">
        <f>2.302-0.746</f>
        <v>1.556</v>
      </c>
      <c r="C13" s="3"/>
      <c r="D13" s="3"/>
      <c r="E13" s="4">
        <f>1.276-0.746</f>
        <v>0.53</v>
      </c>
      <c r="F13" s="8">
        <f t="shared" si="0"/>
        <v>1.026</v>
      </c>
      <c r="G13" s="9">
        <v>8.1199999999999992</v>
      </c>
      <c r="H13" s="9">
        <f t="shared" si="1"/>
        <v>8.3311199999999985</v>
      </c>
      <c r="I13" t="s">
        <v>157</v>
      </c>
    </row>
    <row r="14" spans="1:9" ht="15" customHeight="1" x14ac:dyDescent="0.25">
      <c r="A14" s="3" t="s">
        <v>81</v>
      </c>
      <c r="B14" s="3">
        <v>10</v>
      </c>
      <c r="C14" s="3"/>
      <c r="D14" s="3"/>
      <c r="E14" s="4">
        <v>8</v>
      </c>
      <c r="F14" s="8">
        <f t="shared" si="0"/>
        <v>2</v>
      </c>
      <c r="G14" s="9">
        <f>9.6/10</f>
        <v>0.96</v>
      </c>
      <c r="H14" s="9">
        <f t="shared" si="1"/>
        <v>1.92</v>
      </c>
      <c r="I14" t="s">
        <v>157</v>
      </c>
    </row>
    <row r="15" spans="1:9" ht="15" customHeight="1" x14ac:dyDescent="0.25">
      <c r="A15" s="3" t="s">
        <v>85</v>
      </c>
      <c r="B15" s="3">
        <v>1</v>
      </c>
      <c r="C15" s="3"/>
      <c r="D15" s="3"/>
      <c r="E15" s="4">
        <v>0.5</v>
      </c>
      <c r="F15" s="8">
        <f t="shared" si="0"/>
        <v>0.5</v>
      </c>
      <c r="G15" s="9">
        <v>11.66</v>
      </c>
      <c r="H15" s="9">
        <f t="shared" si="1"/>
        <v>5.83</v>
      </c>
      <c r="I15" t="s">
        <v>157</v>
      </c>
    </row>
    <row r="16" spans="1:9" ht="15" customHeight="1" x14ac:dyDescent="0.25">
      <c r="A16" s="3" t="s">
        <v>92</v>
      </c>
      <c r="B16" s="3">
        <v>10</v>
      </c>
      <c r="C16" s="3"/>
      <c r="D16" s="3"/>
      <c r="E16" s="4">
        <v>4</v>
      </c>
      <c r="F16" s="8">
        <f t="shared" si="0"/>
        <v>6</v>
      </c>
      <c r="G16" s="9">
        <f>9.9/10</f>
        <v>0.99</v>
      </c>
      <c r="H16" s="9">
        <f t="shared" si="1"/>
        <v>5.9399999999999995</v>
      </c>
      <c r="I16" t="s">
        <v>157</v>
      </c>
    </row>
    <row r="17" spans="1:9" ht="15" customHeight="1" x14ac:dyDescent="0.25">
      <c r="A17" s="3" t="s">
        <v>94</v>
      </c>
      <c r="B17" s="3">
        <v>50</v>
      </c>
      <c r="C17" s="3"/>
      <c r="D17" s="3"/>
      <c r="E17" s="4">
        <v>27</v>
      </c>
      <c r="F17" s="8">
        <f t="shared" si="0"/>
        <v>23</v>
      </c>
      <c r="G17" s="9">
        <f>34/50</f>
        <v>0.68</v>
      </c>
      <c r="H17" s="9">
        <f t="shared" si="1"/>
        <v>15.64</v>
      </c>
      <c r="I17" t="s">
        <v>157</v>
      </c>
    </row>
    <row r="18" spans="1:9" ht="15" customHeight="1" x14ac:dyDescent="0.25">
      <c r="A18" s="3" t="s">
        <v>100</v>
      </c>
      <c r="B18" s="3">
        <v>5</v>
      </c>
      <c r="C18" s="3"/>
      <c r="D18" s="3"/>
      <c r="E18" s="4">
        <v>2</v>
      </c>
      <c r="F18" s="8">
        <f t="shared" si="0"/>
        <v>3</v>
      </c>
      <c r="G18" s="9">
        <f>5.05/5</f>
        <v>1.01</v>
      </c>
      <c r="H18" s="9">
        <f t="shared" si="1"/>
        <v>3.0300000000000002</v>
      </c>
      <c r="I18" t="s">
        <v>157</v>
      </c>
    </row>
    <row r="19" spans="1:9" ht="15" customHeight="1" x14ac:dyDescent="0.25">
      <c r="A19" s="3" t="s">
        <v>102</v>
      </c>
      <c r="B19" s="3">
        <v>5</v>
      </c>
      <c r="C19" s="3"/>
      <c r="D19" s="3"/>
      <c r="E19" s="4">
        <v>4</v>
      </c>
      <c r="F19" s="8">
        <f t="shared" si="0"/>
        <v>1</v>
      </c>
      <c r="G19" s="9">
        <f>6.05/5</f>
        <v>1.21</v>
      </c>
      <c r="H19" s="9">
        <f t="shared" si="1"/>
        <v>1.21</v>
      </c>
      <c r="I19" t="s">
        <v>157</v>
      </c>
    </row>
    <row r="20" spans="1:9" ht="15" customHeight="1" x14ac:dyDescent="0.25">
      <c r="A20" s="3" t="s">
        <v>107</v>
      </c>
      <c r="B20" s="3">
        <v>5</v>
      </c>
      <c r="C20" s="3"/>
      <c r="D20" s="3"/>
      <c r="E20" s="4">
        <v>4</v>
      </c>
      <c r="F20" s="8">
        <f t="shared" si="0"/>
        <v>1</v>
      </c>
      <c r="G20" s="9">
        <f>6.05/5</f>
        <v>1.21</v>
      </c>
      <c r="H20" s="9">
        <f t="shared" si="1"/>
        <v>1.21</v>
      </c>
      <c r="I20" t="s">
        <v>157</v>
      </c>
    </row>
    <row r="21" spans="1:9" ht="15" customHeight="1" x14ac:dyDescent="0.25">
      <c r="A21" s="3" t="s">
        <v>110</v>
      </c>
      <c r="B21" s="3">
        <v>5</v>
      </c>
      <c r="C21" s="3"/>
      <c r="D21" s="3"/>
      <c r="E21" s="4">
        <v>3</v>
      </c>
      <c r="F21" s="8">
        <f t="shared" si="0"/>
        <v>2</v>
      </c>
      <c r="G21" s="9">
        <f>4.95/5</f>
        <v>0.99</v>
      </c>
      <c r="H21" s="9">
        <f t="shared" si="1"/>
        <v>1.98</v>
      </c>
      <c r="I21" t="s">
        <v>157</v>
      </c>
    </row>
    <row r="22" spans="1:9" ht="15" customHeight="1" x14ac:dyDescent="0.25">
      <c r="A22" s="3" t="s">
        <v>117</v>
      </c>
      <c r="B22" s="4">
        <v>0.7</v>
      </c>
      <c r="C22" s="4"/>
      <c r="D22" s="4"/>
      <c r="E22" s="4">
        <v>0.252</v>
      </c>
      <c r="F22" s="12">
        <f t="shared" si="0"/>
        <v>0.44799999999999995</v>
      </c>
      <c r="G22" s="11">
        <v>41.9</v>
      </c>
      <c r="H22" s="11">
        <f t="shared" si="1"/>
        <v>18.771199999999997</v>
      </c>
      <c r="I22" t="s">
        <v>157</v>
      </c>
    </row>
    <row r="23" spans="1:9" ht="15" customHeight="1" x14ac:dyDescent="0.25">
      <c r="A23" s="3" t="s">
        <v>118</v>
      </c>
      <c r="B23" s="3">
        <v>0.25</v>
      </c>
      <c r="C23" s="3"/>
      <c r="D23" s="3"/>
      <c r="E23" s="4">
        <v>0.23</v>
      </c>
      <c r="F23" s="8">
        <f t="shared" si="0"/>
        <v>1.999999999999999E-2</v>
      </c>
      <c r="G23" s="9">
        <v>56.07</v>
      </c>
      <c r="H23" s="9">
        <f t="shared" si="1"/>
        <v>1.1213999999999995</v>
      </c>
      <c r="I23" t="s">
        <v>157</v>
      </c>
    </row>
    <row r="24" spans="1:9" ht="15" customHeight="1" x14ac:dyDescent="0.25">
      <c r="A24" s="4" t="s">
        <v>122</v>
      </c>
      <c r="B24" s="3">
        <v>5</v>
      </c>
      <c r="C24" s="3"/>
      <c r="D24" s="3"/>
      <c r="E24" s="4">
        <v>1.6160000000000001</v>
      </c>
      <c r="F24" s="8">
        <f t="shared" si="0"/>
        <v>3.3839999999999999</v>
      </c>
      <c r="G24" s="9">
        <v>16.899999999999999</v>
      </c>
      <c r="H24" s="9">
        <f t="shared" si="1"/>
        <v>57.189599999999992</v>
      </c>
      <c r="I24" t="s">
        <v>157</v>
      </c>
    </row>
    <row r="25" spans="1:9" ht="15" customHeight="1" x14ac:dyDescent="0.25">
      <c r="A25" s="4" t="s">
        <v>124</v>
      </c>
      <c r="B25" s="3">
        <v>14</v>
      </c>
      <c r="C25" s="3"/>
      <c r="D25" s="3"/>
      <c r="E25" s="4">
        <v>10</v>
      </c>
      <c r="F25" s="8">
        <f t="shared" si="0"/>
        <v>4</v>
      </c>
      <c r="G25" s="9">
        <v>0.5</v>
      </c>
      <c r="H25" s="9">
        <f t="shared" si="1"/>
        <v>2</v>
      </c>
      <c r="I25" t="s">
        <v>157</v>
      </c>
    </row>
    <row r="26" spans="1:9" ht="15" customHeight="1" x14ac:dyDescent="0.25">
      <c r="A26" s="3" t="s">
        <v>127</v>
      </c>
      <c r="B26" s="3">
        <f>2.032</f>
        <v>2.032</v>
      </c>
      <c r="C26" s="3">
        <f>2.062+0.722</f>
        <v>2.7839999999999998</v>
      </c>
      <c r="D26" s="3"/>
      <c r="E26" s="4">
        <v>1.9139999999999999</v>
      </c>
      <c r="F26" s="8">
        <f t="shared" si="0"/>
        <v>2.9020000000000001</v>
      </c>
      <c r="G26" s="9">
        <v>16.25</v>
      </c>
      <c r="H26" s="9">
        <f t="shared" si="1"/>
        <v>47.157499999999999</v>
      </c>
      <c r="I26" t="s">
        <v>157</v>
      </c>
    </row>
    <row r="27" spans="1:9" ht="15" customHeight="1" x14ac:dyDescent="0.25">
      <c r="A27" s="3" t="s">
        <v>131</v>
      </c>
      <c r="B27" s="3">
        <v>0.49399999999999999</v>
      </c>
      <c r="C27" s="3"/>
      <c r="D27" s="3"/>
      <c r="E27" s="4">
        <v>0.27</v>
      </c>
      <c r="F27" s="8">
        <f t="shared" si="0"/>
        <v>0.22399999999999998</v>
      </c>
      <c r="G27" s="9">
        <v>44.41</v>
      </c>
      <c r="H27" s="9">
        <f t="shared" si="1"/>
        <v>9.9478399999999976</v>
      </c>
      <c r="I27" t="s">
        <v>157</v>
      </c>
    </row>
    <row r="28" spans="1:9" ht="15" customHeight="1" x14ac:dyDescent="0.25">
      <c r="A28" s="3" t="s">
        <v>133</v>
      </c>
      <c r="B28" s="3">
        <v>0.70599999999999996</v>
      </c>
      <c r="C28" s="3"/>
      <c r="D28" s="3"/>
      <c r="E28" s="4">
        <v>0.34200000000000003</v>
      </c>
      <c r="F28" s="8">
        <f t="shared" si="0"/>
        <v>0.36399999999999993</v>
      </c>
      <c r="G28" s="9">
        <v>28.9</v>
      </c>
      <c r="H28" s="9">
        <f t="shared" si="1"/>
        <v>10.519599999999997</v>
      </c>
      <c r="I28" t="s">
        <v>157</v>
      </c>
    </row>
    <row r="29" spans="1:9" ht="15" customHeight="1" x14ac:dyDescent="0.25">
      <c r="A29" s="3" t="s">
        <v>134</v>
      </c>
      <c r="B29" s="3">
        <v>0.97599999999999998</v>
      </c>
      <c r="C29" s="3"/>
      <c r="D29" s="3"/>
      <c r="E29" s="4">
        <v>0.21299999999999999</v>
      </c>
      <c r="F29" s="8">
        <f t="shared" si="0"/>
        <v>0.76300000000000001</v>
      </c>
      <c r="G29" s="9">
        <v>36.65</v>
      </c>
      <c r="H29" s="9">
        <f t="shared" si="1"/>
        <v>27.963950000000001</v>
      </c>
      <c r="I29" t="s">
        <v>157</v>
      </c>
    </row>
    <row r="30" spans="1:9" ht="15" customHeight="1" x14ac:dyDescent="0.25">
      <c r="A30" s="3" t="s">
        <v>135</v>
      </c>
      <c r="B30" s="3">
        <v>0.7</v>
      </c>
      <c r="C30" s="3"/>
      <c r="D30" s="3"/>
      <c r="E30" s="4">
        <v>0.23</v>
      </c>
      <c r="F30" s="8">
        <f t="shared" si="0"/>
        <v>0.47</v>
      </c>
      <c r="G30" s="9">
        <v>41.78</v>
      </c>
      <c r="H30" s="9">
        <f t="shared" si="1"/>
        <v>19.636599999999998</v>
      </c>
      <c r="I30" t="s">
        <v>157</v>
      </c>
    </row>
    <row r="31" spans="1:9" ht="15" customHeight="1" x14ac:dyDescent="0.25">
      <c r="A31" s="4" t="s">
        <v>136</v>
      </c>
      <c r="B31" s="3">
        <f>1.67-0.804</f>
        <v>0.86599999999999988</v>
      </c>
      <c r="C31" s="3"/>
      <c r="D31" s="3"/>
      <c r="E31" s="4">
        <f>1.152-0.804</f>
        <v>0.34799999999999986</v>
      </c>
      <c r="F31" s="8">
        <f t="shared" si="0"/>
        <v>0.51800000000000002</v>
      </c>
      <c r="G31" s="9">
        <v>11.85</v>
      </c>
      <c r="H31" s="9">
        <f t="shared" si="1"/>
        <v>6.1383000000000001</v>
      </c>
      <c r="I31" t="s">
        <v>157</v>
      </c>
    </row>
    <row r="32" spans="1:9" ht="15" customHeight="1" x14ac:dyDescent="0.25">
      <c r="A32" s="4" t="s">
        <v>139</v>
      </c>
      <c r="B32" s="3">
        <f>3.624-0.998</f>
        <v>2.6260000000000003</v>
      </c>
      <c r="C32" s="3"/>
      <c r="D32" s="3"/>
      <c r="E32" s="4">
        <f>2.474-0.998</f>
        <v>1.4760000000000002</v>
      </c>
      <c r="F32" s="14">
        <f t="shared" si="0"/>
        <v>1.1500000000000001</v>
      </c>
      <c r="G32" s="9">
        <v>7.61</v>
      </c>
      <c r="H32" s="9">
        <f t="shared" si="1"/>
        <v>8.7515000000000018</v>
      </c>
      <c r="I32" t="s">
        <v>157</v>
      </c>
    </row>
    <row r="33" spans="1:9" ht="15" customHeight="1" x14ac:dyDescent="0.25">
      <c r="A33" s="3" t="s">
        <v>142</v>
      </c>
      <c r="B33" s="3">
        <v>2.5</v>
      </c>
      <c r="C33" s="3"/>
      <c r="D33" s="3"/>
      <c r="E33" s="4">
        <v>0.84199999999999997</v>
      </c>
      <c r="F33" s="14">
        <f t="shared" si="0"/>
        <v>1.6579999999999999</v>
      </c>
      <c r="G33" s="9">
        <f>8.84*3+4.33</f>
        <v>30.85</v>
      </c>
      <c r="H33" s="9">
        <f t="shared" si="1"/>
        <v>51.149299999999997</v>
      </c>
      <c r="I33" t="s">
        <v>157</v>
      </c>
    </row>
    <row r="34" spans="1:9" ht="15" customHeight="1" x14ac:dyDescent="0.25">
      <c r="A34" s="3" t="s">
        <v>143</v>
      </c>
      <c r="B34" s="3">
        <v>2</v>
      </c>
      <c r="C34" s="3">
        <f>1.5+1+1.022</f>
        <v>3.5220000000000002</v>
      </c>
      <c r="D34" s="3"/>
      <c r="E34" s="4">
        <v>1.022</v>
      </c>
      <c r="F34" s="14">
        <f t="shared" si="0"/>
        <v>4.5</v>
      </c>
      <c r="G34" s="9">
        <v>8.84</v>
      </c>
      <c r="H34" s="9">
        <f t="shared" si="1"/>
        <v>39.78</v>
      </c>
      <c r="I34" t="s">
        <v>157</v>
      </c>
    </row>
    <row r="35" spans="1:9" ht="15" customHeight="1" x14ac:dyDescent="0.25">
      <c r="A35" s="4" t="s">
        <v>146</v>
      </c>
      <c r="B35" s="3">
        <f>1.888-0.66</f>
        <v>1.2279999999999998</v>
      </c>
      <c r="C35" s="3"/>
      <c r="D35" s="3"/>
      <c r="E35" s="4">
        <f>1.434-0.66</f>
        <v>0.77399999999999991</v>
      </c>
      <c r="F35" s="14">
        <f t="shared" si="0"/>
        <v>0.45399999999999985</v>
      </c>
      <c r="G35" s="9">
        <v>5.95</v>
      </c>
      <c r="H35" s="9">
        <f t="shared" si="1"/>
        <v>2.7012999999999994</v>
      </c>
      <c r="I35" t="s">
        <v>157</v>
      </c>
    </row>
    <row r="36" spans="1:9" ht="15" customHeight="1" x14ac:dyDescent="0.25">
      <c r="E36" s="2"/>
      <c r="G36" s="16" t="s">
        <v>150</v>
      </c>
      <c r="H36" s="17">
        <f>SUM(H2:H35)</f>
        <v>583.60008399999992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topLeftCell="A28" zoomScale="90" zoomScaleNormal="90" workbookViewId="0">
      <selection activeCell="C8" sqref="C8"/>
    </sheetView>
  </sheetViews>
  <sheetFormatPr defaultColWidth="8.7109375" defaultRowHeight="15" x14ac:dyDescent="0.25"/>
  <cols>
    <col min="1" max="1" width="46.5703125" customWidth="1"/>
    <col min="2" max="2" width="19.85546875" customWidth="1"/>
    <col min="3" max="3" width="23.7109375" customWidth="1"/>
    <col min="4" max="4" width="15" customWidth="1"/>
  </cols>
  <sheetData>
    <row r="1" spans="1:4" ht="19.5" customHeight="1" x14ac:dyDescent="0.25">
      <c r="A1" s="1" t="s">
        <v>0</v>
      </c>
      <c r="B1" s="3"/>
      <c r="C1" s="5"/>
    </row>
    <row r="2" spans="1:4" ht="19.5" customHeight="1" x14ac:dyDescent="0.25">
      <c r="A2" s="6" t="s">
        <v>1</v>
      </c>
      <c r="B2" s="7" t="s">
        <v>158</v>
      </c>
      <c r="C2" s="6" t="s">
        <v>7</v>
      </c>
      <c r="D2" s="6" t="s">
        <v>8</v>
      </c>
    </row>
    <row r="3" spans="1:4" ht="19.5" customHeight="1" x14ac:dyDescent="0.25">
      <c r="A3" s="3" t="s">
        <v>9</v>
      </c>
      <c r="B3" s="3">
        <v>0.44800000000000001</v>
      </c>
      <c r="C3" s="9">
        <v>4.05</v>
      </c>
      <c r="D3" s="9">
        <f t="shared" ref="D3:D44" si="0">B3*C3</f>
        <v>1.8144</v>
      </c>
    </row>
    <row r="4" spans="1:4" ht="19.5" customHeight="1" x14ac:dyDescent="0.25">
      <c r="A4" s="4" t="s">
        <v>23</v>
      </c>
      <c r="B4" s="3">
        <v>0.64600000000000002</v>
      </c>
      <c r="C4" s="9">
        <v>5.36</v>
      </c>
      <c r="D4" s="9">
        <f t="shared" si="0"/>
        <v>3.4625600000000003</v>
      </c>
    </row>
    <row r="5" spans="1:4" ht="19.5" customHeight="1" x14ac:dyDescent="0.25">
      <c r="A5" s="4" t="s">
        <v>24</v>
      </c>
      <c r="B5" s="8">
        <v>0.38600000000000001</v>
      </c>
      <c r="C5" s="9">
        <v>7.01</v>
      </c>
      <c r="D5" s="9">
        <f t="shared" si="0"/>
        <v>2.7058599999999999</v>
      </c>
    </row>
    <row r="6" spans="1:4" ht="19.5" customHeight="1" x14ac:dyDescent="0.25">
      <c r="A6" s="3" t="s">
        <v>30</v>
      </c>
      <c r="B6" s="3">
        <v>0.67200000000000004</v>
      </c>
      <c r="C6" s="9">
        <v>18.989999999999998</v>
      </c>
      <c r="D6" s="9">
        <f t="shared" si="0"/>
        <v>12.761279999999999</v>
      </c>
    </row>
    <row r="7" spans="1:4" ht="19.5" customHeight="1" x14ac:dyDescent="0.25">
      <c r="A7" s="3" t="s">
        <v>41</v>
      </c>
      <c r="B7" s="3">
        <v>0.52200000000000002</v>
      </c>
      <c r="C7" s="9">
        <v>77.14</v>
      </c>
      <c r="D7" s="9">
        <f t="shared" si="0"/>
        <v>40.26708</v>
      </c>
    </row>
    <row r="8" spans="1:4" ht="19.5" customHeight="1" x14ac:dyDescent="0.25">
      <c r="A8" s="4" t="s">
        <v>50</v>
      </c>
      <c r="B8" s="4">
        <v>0.5</v>
      </c>
      <c r="C8" s="4">
        <v>8.84</v>
      </c>
      <c r="D8" s="11">
        <f t="shared" si="0"/>
        <v>4.42</v>
      </c>
    </row>
    <row r="9" spans="1:4" ht="19.5" customHeight="1" x14ac:dyDescent="0.25">
      <c r="A9" s="3" t="s">
        <v>61</v>
      </c>
      <c r="B9" s="3">
        <v>0.08</v>
      </c>
      <c r="C9" s="9">
        <v>15.6</v>
      </c>
      <c r="D9" s="9">
        <f t="shared" si="0"/>
        <v>1.248</v>
      </c>
    </row>
    <row r="10" spans="1:4" ht="19.5" customHeight="1" x14ac:dyDescent="0.25">
      <c r="A10" s="3" t="s">
        <v>63</v>
      </c>
      <c r="B10" s="3">
        <v>4.91</v>
      </c>
      <c r="C10" s="9">
        <v>5.35</v>
      </c>
      <c r="D10" s="9">
        <f t="shared" si="0"/>
        <v>26.2685</v>
      </c>
    </row>
    <row r="11" spans="1:4" ht="19.5" customHeight="1" x14ac:dyDescent="0.25">
      <c r="A11" s="3" t="s">
        <v>69</v>
      </c>
      <c r="B11" s="4">
        <v>0.10199999999999999</v>
      </c>
      <c r="C11" s="11">
        <v>4.33</v>
      </c>
      <c r="D11" s="9">
        <f t="shared" si="0"/>
        <v>0.44166</v>
      </c>
    </row>
    <row r="12" spans="1:4" ht="19.5" customHeight="1" x14ac:dyDescent="0.25">
      <c r="A12" s="3" t="s">
        <v>73</v>
      </c>
      <c r="B12" s="4">
        <v>1.8220000000000001</v>
      </c>
      <c r="C12" s="11">
        <v>3.19</v>
      </c>
      <c r="D12" s="9">
        <f t="shared" si="0"/>
        <v>5.8121799999999997</v>
      </c>
    </row>
    <row r="13" spans="1:4" ht="19.5" customHeight="1" x14ac:dyDescent="0.25">
      <c r="A13" s="3" t="s">
        <v>74</v>
      </c>
      <c r="B13" s="3">
        <v>0.97199999999999998</v>
      </c>
      <c r="C13" s="9">
        <v>10.6</v>
      </c>
      <c r="D13" s="9">
        <f t="shared" si="0"/>
        <v>10.303199999999999</v>
      </c>
    </row>
    <row r="14" spans="1:4" ht="19.5" customHeight="1" x14ac:dyDescent="0.25">
      <c r="A14" s="4" t="s">
        <v>76</v>
      </c>
      <c r="B14" s="3">
        <v>0.53</v>
      </c>
      <c r="C14" s="9">
        <v>8.1199999999999992</v>
      </c>
      <c r="D14" s="9">
        <f t="shared" si="0"/>
        <v>4.3035999999999994</v>
      </c>
    </row>
    <row r="15" spans="1:4" ht="19.5" customHeight="1" x14ac:dyDescent="0.25">
      <c r="A15" s="3" t="s">
        <v>81</v>
      </c>
      <c r="B15" s="3">
        <v>8</v>
      </c>
      <c r="C15" s="9">
        <f>9.6/10</f>
        <v>0.96</v>
      </c>
      <c r="D15" s="9">
        <f t="shared" si="0"/>
        <v>7.68</v>
      </c>
    </row>
    <row r="16" spans="1:4" ht="19.5" customHeight="1" x14ac:dyDescent="0.25">
      <c r="A16" s="3" t="s">
        <v>82</v>
      </c>
      <c r="B16" s="3">
        <v>10</v>
      </c>
      <c r="C16" s="9">
        <f>9.9/10</f>
        <v>0.99</v>
      </c>
      <c r="D16" s="9">
        <f t="shared" si="0"/>
        <v>9.9</v>
      </c>
    </row>
    <row r="17" spans="1:4" ht="19.5" customHeight="1" x14ac:dyDescent="0.25">
      <c r="A17" s="3" t="s">
        <v>84</v>
      </c>
      <c r="B17" s="3">
        <v>10</v>
      </c>
      <c r="C17" s="9">
        <f>9.6/10</f>
        <v>0.96</v>
      </c>
      <c r="D17" s="9">
        <f t="shared" si="0"/>
        <v>9.6</v>
      </c>
    </row>
    <row r="18" spans="1:4" ht="19.5" customHeight="1" x14ac:dyDescent="0.25">
      <c r="A18" s="3" t="s">
        <v>85</v>
      </c>
      <c r="B18" s="3">
        <v>0.5</v>
      </c>
      <c r="C18" s="9">
        <v>11.66</v>
      </c>
      <c r="D18" s="9">
        <f t="shared" si="0"/>
        <v>5.83</v>
      </c>
    </row>
    <row r="19" spans="1:4" ht="19.5" customHeight="1" x14ac:dyDescent="0.25">
      <c r="A19" s="3" t="s">
        <v>92</v>
      </c>
      <c r="B19" s="3">
        <v>4</v>
      </c>
      <c r="C19" s="9">
        <f>9.9/10</f>
        <v>0.99</v>
      </c>
      <c r="D19" s="9">
        <f t="shared" si="0"/>
        <v>3.96</v>
      </c>
    </row>
    <row r="20" spans="1:4" ht="19.5" customHeight="1" x14ac:dyDescent="0.25">
      <c r="A20" s="3" t="s">
        <v>94</v>
      </c>
      <c r="B20" s="3">
        <v>27</v>
      </c>
      <c r="C20" s="9">
        <f>34/50</f>
        <v>0.68</v>
      </c>
      <c r="D20" s="9">
        <f t="shared" si="0"/>
        <v>18.360000000000003</v>
      </c>
    </row>
    <row r="21" spans="1:4" ht="19.5" customHeight="1" x14ac:dyDescent="0.25">
      <c r="A21" s="3" t="s">
        <v>96</v>
      </c>
      <c r="B21" s="3">
        <v>5</v>
      </c>
      <c r="C21" s="9">
        <f>5.05/5</f>
        <v>1.01</v>
      </c>
      <c r="D21" s="9">
        <f t="shared" si="0"/>
        <v>5.05</v>
      </c>
    </row>
    <row r="22" spans="1:4" ht="19.5" customHeight="1" x14ac:dyDescent="0.25">
      <c r="A22" s="3" t="s">
        <v>97</v>
      </c>
      <c r="B22" s="3">
        <v>5</v>
      </c>
      <c r="C22" s="9">
        <f>4.8/5</f>
        <v>0.96</v>
      </c>
      <c r="D22" s="9">
        <f t="shared" si="0"/>
        <v>4.8</v>
      </c>
    </row>
    <row r="23" spans="1:4" ht="19.5" customHeight="1" x14ac:dyDescent="0.25">
      <c r="A23" s="3" t="s">
        <v>98</v>
      </c>
      <c r="B23" s="3">
        <v>10</v>
      </c>
      <c r="C23" s="9">
        <f>8.5/10</f>
        <v>0.85</v>
      </c>
      <c r="D23" s="9">
        <f t="shared" si="0"/>
        <v>8.5</v>
      </c>
    </row>
    <row r="24" spans="1:4" ht="19.5" customHeight="1" x14ac:dyDescent="0.25">
      <c r="A24" s="3" t="s">
        <v>100</v>
      </c>
      <c r="B24" s="3">
        <v>2</v>
      </c>
      <c r="C24" s="9">
        <f>5.05/5</f>
        <v>1.01</v>
      </c>
      <c r="D24" s="9">
        <f t="shared" si="0"/>
        <v>2.02</v>
      </c>
    </row>
    <row r="25" spans="1:4" ht="19.5" customHeight="1" x14ac:dyDescent="0.25">
      <c r="A25" s="3" t="s">
        <v>102</v>
      </c>
      <c r="B25" s="3">
        <v>4</v>
      </c>
      <c r="C25" s="9">
        <f>6.05/5</f>
        <v>1.21</v>
      </c>
      <c r="D25" s="9">
        <f t="shared" si="0"/>
        <v>4.84</v>
      </c>
    </row>
    <row r="26" spans="1:4" ht="19.5" customHeight="1" x14ac:dyDescent="0.25">
      <c r="A26" s="3" t="s">
        <v>106</v>
      </c>
      <c r="B26" s="3">
        <v>5</v>
      </c>
      <c r="C26" s="9">
        <f>5.4/5</f>
        <v>1.08</v>
      </c>
      <c r="D26" s="9">
        <f t="shared" si="0"/>
        <v>5.4</v>
      </c>
    </row>
    <row r="27" spans="1:4" ht="19.5" customHeight="1" x14ac:dyDescent="0.25">
      <c r="A27" s="3" t="s">
        <v>107</v>
      </c>
      <c r="B27" s="3">
        <v>4</v>
      </c>
      <c r="C27" s="9">
        <f>6.05/5</f>
        <v>1.21</v>
      </c>
      <c r="D27" s="9">
        <f t="shared" si="0"/>
        <v>4.84</v>
      </c>
    </row>
    <row r="28" spans="1:4" ht="19.5" customHeight="1" x14ac:dyDescent="0.25">
      <c r="A28" s="3" t="s">
        <v>110</v>
      </c>
      <c r="B28" s="3">
        <v>3</v>
      </c>
      <c r="C28" s="9">
        <f>4.95/5</f>
        <v>0.99</v>
      </c>
      <c r="D28" s="9">
        <f t="shared" si="0"/>
        <v>2.9699999999999998</v>
      </c>
    </row>
    <row r="29" spans="1:4" ht="19.5" customHeight="1" x14ac:dyDescent="0.25">
      <c r="A29" s="3" t="s">
        <v>117</v>
      </c>
      <c r="B29" s="4">
        <v>0.252</v>
      </c>
      <c r="C29" s="11">
        <v>41.9</v>
      </c>
      <c r="D29" s="11">
        <f t="shared" si="0"/>
        <v>10.5588</v>
      </c>
    </row>
    <row r="30" spans="1:4" ht="19.5" customHeight="1" x14ac:dyDescent="0.25">
      <c r="A30" s="3" t="s">
        <v>118</v>
      </c>
      <c r="B30" s="3">
        <v>0.23</v>
      </c>
      <c r="C30" s="9">
        <v>56.07</v>
      </c>
      <c r="D30" s="9">
        <f t="shared" si="0"/>
        <v>12.896100000000001</v>
      </c>
    </row>
    <row r="31" spans="1:4" ht="19.5" customHeight="1" x14ac:dyDescent="0.25">
      <c r="A31" s="4" t="s">
        <v>122</v>
      </c>
      <c r="B31" s="3">
        <v>1.6160000000000001</v>
      </c>
      <c r="C31" s="9">
        <v>16.899999999999999</v>
      </c>
      <c r="D31" s="9">
        <f t="shared" si="0"/>
        <v>27.310399999999998</v>
      </c>
    </row>
    <row r="32" spans="1:4" ht="19.5" customHeight="1" x14ac:dyDescent="0.25">
      <c r="A32" s="4" t="s">
        <v>124</v>
      </c>
      <c r="B32" s="3">
        <v>10</v>
      </c>
      <c r="C32" s="9">
        <v>0.5</v>
      </c>
      <c r="D32" s="9">
        <f t="shared" si="0"/>
        <v>5</v>
      </c>
    </row>
    <row r="33" spans="1:11" ht="19.5" customHeight="1" x14ac:dyDescent="0.25">
      <c r="A33" s="3" t="s">
        <v>127</v>
      </c>
      <c r="B33" s="3">
        <v>1.9139999999999999</v>
      </c>
      <c r="C33" s="9">
        <v>16.25</v>
      </c>
      <c r="D33" s="9">
        <f t="shared" si="0"/>
        <v>31.102499999999999</v>
      </c>
    </row>
    <row r="34" spans="1:11" ht="19.5" customHeight="1" x14ac:dyDescent="0.25">
      <c r="A34" s="3" t="s">
        <v>131</v>
      </c>
      <c r="B34" s="3">
        <v>0.27</v>
      </c>
      <c r="C34" s="9">
        <v>44.41</v>
      </c>
      <c r="D34" s="9">
        <f t="shared" si="0"/>
        <v>11.9907</v>
      </c>
    </row>
    <row r="35" spans="1:11" ht="19.5" customHeight="1" x14ac:dyDescent="0.25">
      <c r="A35" s="3" t="s">
        <v>133</v>
      </c>
      <c r="B35" s="3">
        <v>0.34200000000000003</v>
      </c>
      <c r="C35" s="9">
        <v>28.9</v>
      </c>
      <c r="D35" s="9">
        <f t="shared" si="0"/>
        <v>9.8838000000000008</v>
      </c>
    </row>
    <row r="36" spans="1:11" ht="19.5" customHeight="1" x14ac:dyDescent="0.25">
      <c r="A36" s="3" t="s">
        <v>134</v>
      </c>
      <c r="B36" s="3">
        <v>0.21299999999999999</v>
      </c>
      <c r="C36" s="9">
        <v>36.65</v>
      </c>
      <c r="D36" s="9">
        <f t="shared" si="0"/>
        <v>7.8064499999999999</v>
      </c>
    </row>
    <row r="37" spans="1:11" ht="19.5" customHeight="1" x14ac:dyDescent="0.25">
      <c r="A37" s="3" t="s">
        <v>135</v>
      </c>
      <c r="B37" s="3">
        <v>0.23</v>
      </c>
      <c r="C37" s="9">
        <v>41.78</v>
      </c>
      <c r="D37" s="9">
        <f t="shared" si="0"/>
        <v>9.6094000000000008</v>
      </c>
    </row>
    <row r="38" spans="1:11" ht="19.5" customHeight="1" x14ac:dyDescent="0.25">
      <c r="A38" s="4" t="s">
        <v>136</v>
      </c>
      <c r="B38" s="3">
        <v>0.34799999999999998</v>
      </c>
      <c r="C38" s="9">
        <v>11.85</v>
      </c>
      <c r="D38" s="9">
        <f t="shared" si="0"/>
        <v>4.1237999999999992</v>
      </c>
    </row>
    <row r="39" spans="1:11" ht="19.5" customHeight="1" x14ac:dyDescent="0.25">
      <c r="A39" s="4" t="s">
        <v>137</v>
      </c>
      <c r="B39" s="4">
        <v>0.57799999999999996</v>
      </c>
      <c r="C39" s="11"/>
      <c r="D39" s="11">
        <f t="shared" si="0"/>
        <v>0</v>
      </c>
    </row>
    <row r="40" spans="1:11" ht="19.5" customHeight="1" x14ac:dyDescent="0.25">
      <c r="A40" s="4" t="s">
        <v>139</v>
      </c>
      <c r="B40" s="3">
        <v>1.476</v>
      </c>
      <c r="C40" s="9">
        <v>7.61</v>
      </c>
      <c r="D40" s="9">
        <f t="shared" si="0"/>
        <v>11.23236</v>
      </c>
    </row>
    <row r="41" spans="1:11" ht="19.5" customHeight="1" x14ac:dyDescent="0.25">
      <c r="A41" s="3" t="s">
        <v>141</v>
      </c>
      <c r="B41" s="3">
        <v>2.5</v>
      </c>
      <c r="C41" s="9">
        <f>3.19*3</f>
        <v>9.57</v>
      </c>
      <c r="D41" s="9">
        <f t="shared" si="0"/>
        <v>23.925000000000001</v>
      </c>
    </row>
    <row r="42" spans="1:11" ht="19.5" customHeight="1" x14ac:dyDescent="0.25">
      <c r="A42" s="3" t="s">
        <v>142</v>
      </c>
      <c r="B42" s="3">
        <v>0.84199999999999997</v>
      </c>
      <c r="C42" s="9">
        <f>8.84*3+4.33</f>
        <v>30.85</v>
      </c>
      <c r="D42" s="9">
        <f t="shared" si="0"/>
        <v>25.9757</v>
      </c>
    </row>
    <row r="43" spans="1:11" ht="19.5" customHeight="1" x14ac:dyDescent="0.25">
      <c r="A43" s="3" t="s">
        <v>143</v>
      </c>
      <c r="B43" s="3">
        <v>1.022</v>
      </c>
      <c r="C43" s="9">
        <v>8.84</v>
      </c>
      <c r="D43" s="9">
        <f t="shared" si="0"/>
        <v>9.0344800000000003</v>
      </c>
    </row>
    <row r="44" spans="1:11" ht="19.5" customHeight="1" x14ac:dyDescent="0.25">
      <c r="A44" s="4" t="s">
        <v>146</v>
      </c>
      <c r="B44" s="3">
        <v>0.77400000000000002</v>
      </c>
      <c r="C44" s="9">
        <v>5.95</v>
      </c>
      <c r="D44" s="9">
        <f t="shared" si="0"/>
        <v>4.6053000000000006</v>
      </c>
    </row>
    <row r="45" spans="1:11" ht="19.5" customHeight="1" x14ac:dyDescent="0.25">
      <c r="C45" s="29" t="s">
        <v>150</v>
      </c>
      <c r="D45" s="30">
        <f>SUM(D3:D44)</f>
        <v>412.61311000000012</v>
      </c>
      <c r="K45" s="15"/>
    </row>
    <row r="46" spans="1:11" ht="19.5" customHeight="1" x14ac:dyDescent="0.25">
      <c r="D46" s="15"/>
    </row>
    <row r="47" spans="1:11" ht="19.5" customHeight="1" x14ac:dyDescent="0.25"/>
    <row r="48" spans="1:11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4"/>
  <sheetViews>
    <sheetView showGridLines="0" tabSelected="1" zoomScaleNormal="100" workbookViewId="0">
      <selection activeCell="J13" sqref="J13"/>
    </sheetView>
  </sheetViews>
  <sheetFormatPr defaultColWidth="8.7109375" defaultRowHeight="15" x14ac:dyDescent="0.25"/>
  <cols>
    <col min="1" max="1" width="3" customWidth="1"/>
    <col min="2" max="25" width="11" customWidth="1"/>
  </cols>
  <sheetData>
    <row r="1" spans="1:25" ht="1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15" customHeight="1" x14ac:dyDescent="0.25">
      <c r="A2" s="31"/>
      <c r="B2" s="92" t="s">
        <v>159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31"/>
      <c r="U2" s="31"/>
      <c r="V2" s="31"/>
      <c r="W2" s="31"/>
      <c r="X2" s="31"/>
      <c r="Y2" s="31"/>
    </row>
    <row r="3" spans="1:25" ht="15" customHeight="1" x14ac:dyDescent="0.25">
      <c r="A3" s="31"/>
      <c r="B3" s="93" t="s">
        <v>160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1"/>
      <c r="U3" s="31"/>
      <c r="V3" s="31"/>
      <c r="W3" s="31"/>
      <c r="X3" s="31"/>
      <c r="Y3" s="31"/>
    </row>
    <row r="4" spans="1:25" ht="15" customHeight="1" x14ac:dyDescent="0.25">
      <c r="A4" s="31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31"/>
      <c r="U4" s="31"/>
      <c r="V4" s="31"/>
      <c r="W4" s="31"/>
      <c r="X4" s="31"/>
      <c r="Y4" s="31"/>
    </row>
    <row r="5" spans="1:25" ht="1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ht="15" customHeight="1" x14ac:dyDescent="0.25">
      <c r="A6" s="31"/>
      <c r="B6" s="94" t="s">
        <v>161</v>
      </c>
      <c r="C6" s="94"/>
      <c r="D6" s="31"/>
      <c r="E6" s="94" t="s">
        <v>162</v>
      </c>
      <c r="F6" s="94"/>
      <c r="G6" s="31"/>
      <c r="H6" s="94" t="s">
        <v>163</v>
      </c>
      <c r="I6" s="94"/>
      <c r="J6" s="31"/>
      <c r="K6" s="94" t="s">
        <v>164</v>
      </c>
      <c r="L6" s="94"/>
      <c r="M6" s="31"/>
      <c r="N6" s="94" t="s">
        <v>165</v>
      </c>
      <c r="O6" s="94"/>
      <c r="P6" s="31"/>
      <c r="Q6" s="94" t="s">
        <v>166</v>
      </c>
      <c r="R6" s="94"/>
      <c r="S6" s="31"/>
      <c r="T6" s="31"/>
      <c r="U6" s="31"/>
      <c r="V6" s="31"/>
      <c r="W6" s="31"/>
      <c r="X6" s="31"/>
      <c r="Y6" s="31"/>
    </row>
    <row r="7" spans="1:25" ht="21.75" customHeight="1" x14ac:dyDescent="0.25">
      <c r="A7" s="31"/>
      <c r="B7" s="88">
        <f>CUSTO!H144</f>
        <v>1103.5386252121214</v>
      </c>
      <c r="C7" s="88"/>
      <c r="D7" s="31"/>
      <c r="E7" s="89">
        <f>CUSTO!H144/CUSTO!E149</f>
        <v>0.28941479811490201</v>
      </c>
      <c r="F7" s="89"/>
      <c r="G7" s="31"/>
      <c r="H7" s="86">
        <f>DESCARTE!D45</f>
        <v>412.61311000000012</v>
      </c>
      <c r="I7" s="86"/>
      <c r="J7" s="31"/>
      <c r="K7" s="90">
        <f>DESCARTE!D45/CUSTO!H144</f>
        <v>0.37390001634123859</v>
      </c>
      <c r="L7" s="90"/>
      <c r="M7" s="31"/>
      <c r="N7" s="91">
        <f>CUSTO!B146+CUSTO!B148</f>
        <v>80</v>
      </c>
      <c r="O7" s="91"/>
      <c r="P7" s="31"/>
      <c r="Q7" s="86">
        <f>DESCARTE!D45/(CUSTO!B146+CUSTO!B148)</f>
        <v>5.1576638750000017</v>
      </c>
      <c r="R7" s="86"/>
      <c r="S7" s="31"/>
      <c r="T7" s="31"/>
      <c r="U7" s="31"/>
      <c r="V7" s="31"/>
      <c r="W7" s="31"/>
      <c r="X7" s="31"/>
      <c r="Y7" s="31"/>
    </row>
    <row r="8" spans="1:25" ht="15" customHeight="1" x14ac:dyDescent="0.25">
      <c r="A8" s="31"/>
      <c r="B8" s="87" t="str">
        <f>"Receita de "&amp;TEXT(CUSTO!E149,"R$ #,##0")</f>
        <v>Receita de R$ 3813,0</v>
      </c>
      <c r="C8" s="87"/>
      <c r="D8" s="31"/>
      <c r="E8" s="87" t="str">
        <f>"Custo "&amp;TEXT(CUSTO!H144,"R$ #,##0")&amp;" / receita "&amp;TEXT(CUSTO!E149,"R$ #,##0")</f>
        <v>Custo R$ 1103,539 / receita R$ 3813,0</v>
      </c>
      <c r="F8" s="87"/>
      <c r="G8" s="31"/>
      <c r="H8" s="87" t="str">
        <f>"42 itens com descarte registrado"</f>
        <v>42 itens com descarte registrado</v>
      </c>
      <c r="I8" s="87"/>
      <c r="J8" s="31"/>
      <c r="K8" s="87" t="str">
        <f>TEXT(DESCARTE!D45/CUSTO!E149,"0.0%")&amp;" da receita do período"</f>
        <v>11% da receita do período</v>
      </c>
      <c r="L8" s="87"/>
      <c r="M8" s="31"/>
      <c r="N8" s="87" t="str">
        <f>CUSTO!B146&amp;" diárias c/ café + "&amp;CUSTO!B148&amp;" passantes"</f>
        <v>73 diárias c/ café + 7 passantes</v>
      </c>
      <c r="O8" s="87"/>
      <c r="P8" s="31"/>
      <c r="Q8" s="87" t="str">
        <f>"Custo/pessoa "&amp;TEXT(CUSTO!H144/(CUSTO!B146+CUSTO!B148),"R$ #,##0.00")</f>
        <v>Custo/pessoa R$ 13,79423</v>
      </c>
      <c r="R8" s="87"/>
      <c r="S8" s="31"/>
      <c r="T8" s="31"/>
      <c r="U8" s="31"/>
      <c r="V8" s="31"/>
      <c r="W8" s="31"/>
      <c r="X8" s="31"/>
      <c r="Y8" s="31"/>
    </row>
    <row r="9" spans="1:25" ht="15" customHeight="1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 ht="1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 ht="15" customHeight="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ht="15" customHeight="1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ht="15" customHeigh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ht="1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ht="1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ht="1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ht="1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ht="1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ht="1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ht="1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ht="1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ht="1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ht="1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1:25" ht="1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 ht="1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1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1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1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1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1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1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15" customHeight="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1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15" customHeight="1" x14ac:dyDescent="0.25">
      <c r="A35" s="31"/>
      <c r="B35" s="85" t="s">
        <v>167</v>
      </c>
      <c r="C35" s="85"/>
      <c r="D35" s="85"/>
      <c r="E35" s="85"/>
      <c r="F35" s="85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5" customHeight="1" x14ac:dyDescent="0.25">
      <c r="A36" s="31"/>
      <c r="B36" s="32" t="s">
        <v>168</v>
      </c>
      <c r="C36" s="32" t="s">
        <v>169</v>
      </c>
      <c r="D36" s="32" t="s">
        <v>170</v>
      </c>
      <c r="E36" s="32" t="s">
        <v>171</v>
      </c>
      <c r="F36" s="32" t="s">
        <v>172</v>
      </c>
      <c r="G36" s="32" t="s">
        <v>173</v>
      </c>
      <c r="H36" s="32" t="s">
        <v>174</v>
      </c>
      <c r="I36" s="32" t="s">
        <v>169</v>
      </c>
      <c r="J36" s="32" t="s">
        <v>175</v>
      </c>
      <c r="K36" s="31"/>
      <c r="L36" s="32" t="s">
        <v>176</v>
      </c>
      <c r="M36" s="32" t="s">
        <v>172</v>
      </c>
      <c r="N36" s="31"/>
      <c r="O36" s="32" t="s">
        <v>169</v>
      </c>
      <c r="P36" s="32" t="s">
        <v>172</v>
      </c>
      <c r="Q36" s="31"/>
      <c r="R36" s="32" t="s">
        <v>177</v>
      </c>
      <c r="S36" s="32" t="s">
        <v>178</v>
      </c>
      <c r="T36" s="31"/>
      <c r="U36" s="31"/>
      <c r="V36" s="31"/>
      <c r="W36" s="31"/>
      <c r="X36" s="31"/>
      <c r="Y36" s="31"/>
    </row>
    <row r="37" spans="1:25" ht="15" customHeight="1" x14ac:dyDescent="0.25">
      <c r="A37" s="31"/>
      <c r="B37" s="33" t="str">
        <f>DESCARTE!A3</f>
        <v>ABACAXI</v>
      </c>
      <c r="C37" s="33" t="str">
        <f t="shared" ref="C37:C78" si="0">IFERROR(VLOOKUP(B37,$H$37:$I$78,2,0),"Outros")</f>
        <v>Frutas</v>
      </c>
      <c r="D37" s="34">
        <f>DESCARTE!B3</f>
        <v>0.44800000000000001</v>
      </c>
      <c r="E37" s="35">
        <f>DESCARTE!C3</f>
        <v>4.05</v>
      </c>
      <c r="F37" s="35">
        <f>DESCARTE!D3</f>
        <v>1.8144</v>
      </c>
      <c r="G37" s="36">
        <f t="shared" ref="G37:G78" si="1">F37/$F$79</f>
        <v>4.3973396773553794E-3</v>
      </c>
      <c r="H37" s="33" t="s">
        <v>9</v>
      </c>
      <c r="I37" s="33" t="s">
        <v>179</v>
      </c>
      <c r="J37" s="33">
        <f>RANK(F37,$F$37:$F$78)+COUNTIF($F$37:F37,F37)-1</f>
        <v>39</v>
      </c>
      <c r="K37" s="31"/>
      <c r="L37" s="33" t="str">
        <f>INDEX($B$37:$B$78,MATCH(1,$J$37:$J$78,0))</f>
        <v>CHOCOLATE</v>
      </c>
      <c r="M37" s="35">
        <f>INDEX($F$37:$F$78,MATCH(1,$J$37:$J$78,0))</f>
        <v>40.26708</v>
      </c>
      <c r="N37" s="31"/>
      <c r="O37" s="33" t="s">
        <v>180</v>
      </c>
      <c r="P37" s="35">
        <f t="shared" ref="P37:P44" si="2">SUMIF($C$37:$C$78,O37,$F$37:$F$78)</f>
        <v>124.85249999999999</v>
      </c>
      <c r="Q37" s="31"/>
      <c r="R37" s="33" t="s">
        <v>181</v>
      </c>
      <c r="S37" s="35">
        <f>CUSTO!E146</f>
        <v>3358</v>
      </c>
      <c r="T37" s="31"/>
      <c r="U37" s="31"/>
      <c r="V37" s="31"/>
      <c r="W37" s="31"/>
      <c r="X37" s="31"/>
      <c r="Y37" s="31"/>
    </row>
    <row r="38" spans="1:25" ht="15" customHeight="1" x14ac:dyDescent="0.25">
      <c r="A38" s="31"/>
      <c r="B38" s="33" t="str">
        <f>DESCARTE!A4</f>
        <v>BATATA DOCE</v>
      </c>
      <c r="C38" s="33" t="str">
        <f t="shared" si="0"/>
        <v>Guarnições</v>
      </c>
      <c r="D38" s="34">
        <f>DESCARTE!B4</f>
        <v>0.64600000000000002</v>
      </c>
      <c r="E38" s="35">
        <f>DESCARTE!C4</f>
        <v>5.36</v>
      </c>
      <c r="F38" s="35">
        <f>DESCARTE!D4</f>
        <v>3.4625600000000003</v>
      </c>
      <c r="G38" s="36">
        <f t="shared" si="1"/>
        <v>8.3917837705156755E-3</v>
      </c>
      <c r="H38" s="33" t="s">
        <v>69</v>
      </c>
      <c r="I38" s="33" t="s">
        <v>179</v>
      </c>
      <c r="J38" s="33">
        <f>RANK(F38,$F$37:$F$78)+COUNTIF($F$37:F38,F38)-1</f>
        <v>35</v>
      </c>
      <c r="K38" s="31"/>
      <c r="L38" s="33" t="str">
        <f>INDEX($B$37:$B$78,MATCH(2,$J$37:$J$78,0))</f>
        <v>PÃO DE QUEIJO</v>
      </c>
      <c r="M38" s="35">
        <f>INDEX($F$37:$F$78,MATCH(2,$J$37:$J$78,0))</f>
        <v>31.102499999999999</v>
      </c>
      <c r="N38" s="31"/>
      <c r="O38" s="33" t="s">
        <v>182</v>
      </c>
      <c r="P38" s="35">
        <f t="shared" si="2"/>
        <v>82.302340000000001</v>
      </c>
      <c r="Q38" s="31"/>
      <c r="R38" s="33" t="s">
        <v>183</v>
      </c>
      <c r="S38" s="35">
        <f>CUSTO!E148</f>
        <v>455</v>
      </c>
      <c r="T38" s="31"/>
      <c r="U38" s="31"/>
      <c r="V38" s="31"/>
      <c r="W38" s="31"/>
      <c r="X38" s="31"/>
      <c r="Y38" s="31"/>
    </row>
    <row r="39" spans="1:25" ht="15" customHeight="1" x14ac:dyDescent="0.25">
      <c r="A39" s="31"/>
      <c r="B39" s="33" t="str">
        <f>DESCARTE!A5</f>
        <v>BOLO</v>
      </c>
      <c r="C39" s="33" t="str">
        <f t="shared" si="0"/>
        <v>Doces</v>
      </c>
      <c r="D39" s="34">
        <f>DESCARTE!B5</f>
        <v>0.38600000000000001</v>
      </c>
      <c r="E39" s="35">
        <f>DESCARTE!C5</f>
        <v>7.01</v>
      </c>
      <c r="F39" s="35">
        <f>DESCARTE!D5</f>
        <v>2.7058599999999999</v>
      </c>
      <c r="G39" s="36">
        <f t="shared" si="1"/>
        <v>6.5578624004457809E-3</v>
      </c>
      <c r="H39" s="33" t="s">
        <v>73</v>
      </c>
      <c r="I39" s="33" t="s">
        <v>179</v>
      </c>
      <c r="J39" s="33">
        <f>RANK(F39,$F$37:$F$78)+COUNTIF($F$37:F39,F39)-1</f>
        <v>37</v>
      </c>
      <c r="K39" s="31"/>
      <c r="L39" s="33" t="str">
        <f>INDEX($B$37:$B$78,MATCH(3,$J$37:$J$78,0))</f>
        <v>OVO MEXIDO</v>
      </c>
      <c r="M39" s="35">
        <f>INDEX($F$37:$F$78,MATCH(3,$J$37:$J$78,0))</f>
        <v>27.310399999999998</v>
      </c>
      <c r="N39" s="31"/>
      <c r="O39" s="33" t="s">
        <v>184</v>
      </c>
      <c r="P39" s="35">
        <f t="shared" si="2"/>
        <v>63.355180000000004</v>
      </c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5" customHeight="1" x14ac:dyDescent="0.25">
      <c r="A40" s="31"/>
      <c r="B40" s="33" t="str">
        <f>DESCARTE!A6</f>
        <v>CALABRESA</v>
      </c>
      <c r="C40" s="33" t="str">
        <f t="shared" si="0"/>
        <v>Proteínas</v>
      </c>
      <c r="D40" s="34">
        <f>DESCARTE!B6</f>
        <v>0.67200000000000004</v>
      </c>
      <c r="E40" s="35">
        <f>DESCARTE!C6</f>
        <v>18.989999999999998</v>
      </c>
      <c r="F40" s="35">
        <f>DESCARTE!D6</f>
        <v>12.761279999999999</v>
      </c>
      <c r="G40" s="36">
        <f t="shared" si="1"/>
        <v>3.0927955730732828E-2</v>
      </c>
      <c r="H40" s="33" t="s">
        <v>74</v>
      </c>
      <c r="I40" s="33" t="s">
        <v>179</v>
      </c>
      <c r="J40" s="33">
        <f>RANK(F40,$F$37:$F$78)+COUNTIF($F$37:F40,F40)-1</f>
        <v>9</v>
      </c>
      <c r="K40" s="31"/>
      <c r="L40" s="33" t="str">
        <f>INDEX($B$37:$B$78,MATCH(4,$J$37:$J$78,0))</f>
        <v>LEITE INTEGRAL</v>
      </c>
      <c r="M40" s="35">
        <f>INDEX($F$37:$F$78,MATCH(4,$J$37:$J$78,0))</f>
        <v>26.2685</v>
      </c>
      <c r="N40" s="31"/>
      <c r="O40" s="33" t="s">
        <v>185</v>
      </c>
      <c r="P40" s="35">
        <f t="shared" si="2"/>
        <v>42.972940000000001</v>
      </c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15" customHeight="1" x14ac:dyDescent="0.25">
      <c r="A41" s="31"/>
      <c r="B41" s="33" t="str">
        <f>DESCARTE!A7</f>
        <v>CHOCOLATE</v>
      </c>
      <c r="C41" s="33" t="str">
        <f t="shared" si="0"/>
        <v>Doces</v>
      </c>
      <c r="D41" s="34">
        <f>DESCARTE!B7</f>
        <v>0.52200000000000002</v>
      </c>
      <c r="E41" s="35">
        <f>DESCARTE!C7</f>
        <v>77.14</v>
      </c>
      <c r="F41" s="35">
        <f>DESCARTE!D7</f>
        <v>40.26708</v>
      </c>
      <c r="G41" s="36">
        <f t="shared" si="1"/>
        <v>9.7590403756196667E-2</v>
      </c>
      <c r="H41" s="33" t="s">
        <v>137</v>
      </c>
      <c r="I41" s="33" t="s">
        <v>179</v>
      </c>
      <c r="J41" s="33">
        <f>RANK(F41,$F$37:$F$78)+COUNTIF($F$37:F41,F41)-1</f>
        <v>1</v>
      </c>
      <c r="K41" s="31"/>
      <c r="L41" s="33" t="str">
        <f>INDEX($B$37:$B$78,MATCH(5,$J$37:$J$78,0))</f>
        <v>SUCO DE LARANJA COM MAMAO</v>
      </c>
      <c r="M41" s="35">
        <f>INDEX($F$37:$F$78,MATCH(5,$J$37:$J$78,0))</f>
        <v>25.9757</v>
      </c>
      <c r="N41" s="31"/>
      <c r="O41" s="33" t="s">
        <v>186</v>
      </c>
      <c r="P41" s="35">
        <f t="shared" si="2"/>
        <v>55.491149999999998</v>
      </c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15" customHeight="1" x14ac:dyDescent="0.25">
      <c r="A42" s="31"/>
      <c r="B42" s="33" t="str">
        <f>DESCARTE!A8</f>
        <v>SUCO DETOX</v>
      </c>
      <c r="C42" s="33" t="str">
        <f t="shared" si="0"/>
        <v>Bebidas</v>
      </c>
      <c r="D42" s="34">
        <f>DESCARTE!B8</f>
        <v>0.5</v>
      </c>
      <c r="E42" s="35">
        <f>DESCARTE!C8</f>
        <v>8.84</v>
      </c>
      <c r="F42" s="35">
        <f>DESCARTE!D8</f>
        <v>4.42</v>
      </c>
      <c r="G42" s="36">
        <f t="shared" si="1"/>
        <v>1.0712214161106027E-2</v>
      </c>
      <c r="H42" s="33" t="s">
        <v>24</v>
      </c>
      <c r="I42" s="33" t="s">
        <v>185</v>
      </c>
      <c r="J42" s="33">
        <f>RANK(F42,$F$37:$F$78)+COUNTIF($F$37:F42,F42)-1</f>
        <v>31</v>
      </c>
      <c r="K42" s="31"/>
      <c r="L42" s="33" t="str">
        <f>INDEX($B$37:$B$78,MATCH(6,$J$37:$J$78,0))</f>
        <v>SUCO DE MELANCIA</v>
      </c>
      <c r="M42" s="35">
        <f>INDEX($F$37:$F$78,MATCH(6,$J$37:$J$78,0))</f>
        <v>23.925000000000001</v>
      </c>
      <c r="N42" s="31"/>
      <c r="O42" s="33" t="s">
        <v>187</v>
      </c>
      <c r="P42" s="35">
        <f t="shared" si="2"/>
        <v>25.26756</v>
      </c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15" customHeight="1" x14ac:dyDescent="0.25">
      <c r="A43" s="31"/>
      <c r="B43" s="33" t="str">
        <f>DESCARTE!A9</f>
        <v>IOGURTE DE MORANGO</v>
      </c>
      <c r="C43" s="33" t="str">
        <f t="shared" si="0"/>
        <v>Laticínios</v>
      </c>
      <c r="D43" s="34">
        <f>DESCARTE!B9</f>
        <v>0.08</v>
      </c>
      <c r="E43" s="35">
        <f>DESCARTE!C9</f>
        <v>15.6</v>
      </c>
      <c r="F43" s="35">
        <f>DESCARTE!D9</f>
        <v>1.248</v>
      </c>
      <c r="G43" s="36">
        <f t="shared" si="1"/>
        <v>3.024625174900525E-3</v>
      </c>
      <c r="H43" s="33" t="s">
        <v>41</v>
      </c>
      <c r="I43" s="33" t="s">
        <v>185</v>
      </c>
      <c r="J43" s="33">
        <f>RANK(F43,$F$37:$F$78)+COUNTIF($F$37:F43,F43)-1</f>
        <v>40</v>
      </c>
      <c r="K43" s="31"/>
      <c r="L43" s="33" t="str">
        <f>INDEX($B$37:$B$78,MATCH(7,$J$37:$J$78,0))</f>
        <v>MINI PÃO FRANCÊS 30G</v>
      </c>
      <c r="M43" s="35">
        <f>INDEX($F$37:$F$78,MATCH(7,$J$37:$J$78,0))</f>
        <v>18.360000000000003</v>
      </c>
      <c r="N43" s="31"/>
      <c r="O43" s="33" t="s">
        <v>179</v>
      </c>
      <c r="P43" s="35">
        <f t="shared" si="2"/>
        <v>18.37144</v>
      </c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15" customHeight="1" x14ac:dyDescent="0.25">
      <c r="A44" s="31"/>
      <c r="B44" s="33" t="str">
        <f>DESCARTE!A10</f>
        <v>LEITE INTEGRAL</v>
      </c>
      <c r="C44" s="33" t="str">
        <f t="shared" si="0"/>
        <v>Laticínios</v>
      </c>
      <c r="D44" s="34">
        <f>DESCARTE!B10</f>
        <v>4.91</v>
      </c>
      <c r="E44" s="35">
        <f>DESCARTE!C10</f>
        <v>5.35</v>
      </c>
      <c r="F44" s="35">
        <f>DESCARTE!D10</f>
        <v>26.2685</v>
      </c>
      <c r="G44" s="36">
        <f t="shared" si="1"/>
        <v>6.3663755133713501E-2</v>
      </c>
      <c r="H44" s="33" t="s">
        <v>50</v>
      </c>
      <c r="I44" s="33" t="s">
        <v>184</v>
      </c>
      <c r="J44" s="33">
        <f>RANK(F44,$F$37:$F$78)+COUNTIF($F$37:F44,F44)-1</f>
        <v>4</v>
      </c>
      <c r="K44" s="31"/>
      <c r="L44" s="33" t="str">
        <f>INDEX($B$37:$B$78,MATCH(8,$J$37:$J$78,0))</f>
        <v>MIX DE SALADAS</v>
      </c>
      <c r="M44" s="35">
        <f>INDEX($F$37:$F$78,MATCH(8,$J$37:$J$78,0))</f>
        <v>12.896100000000001</v>
      </c>
      <c r="N44" s="31"/>
      <c r="O44" s="33" t="s">
        <v>188</v>
      </c>
      <c r="P44" s="35">
        <f t="shared" si="2"/>
        <v>0</v>
      </c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5" customHeight="1" x14ac:dyDescent="0.25">
      <c r="A45" s="31"/>
      <c r="B45" s="33" t="str">
        <f>DESCARTE!A11</f>
        <v>MAMAO</v>
      </c>
      <c r="C45" s="33" t="str">
        <f t="shared" si="0"/>
        <v>Frutas</v>
      </c>
      <c r="D45" s="34">
        <f>DESCARTE!B11</f>
        <v>0.10199999999999999</v>
      </c>
      <c r="E45" s="35">
        <f>DESCARTE!C11</f>
        <v>4.33</v>
      </c>
      <c r="F45" s="35">
        <f>DESCARTE!D11</f>
        <v>0.44166</v>
      </c>
      <c r="G45" s="36">
        <f t="shared" si="1"/>
        <v>1.0703973996366715E-3</v>
      </c>
      <c r="H45" s="33" t="s">
        <v>141</v>
      </c>
      <c r="I45" s="33" t="s">
        <v>184</v>
      </c>
      <c r="J45" s="33">
        <f>RANK(F45,$F$37:$F$78)+COUNTIF($F$37:F45,F45)-1</f>
        <v>41</v>
      </c>
      <c r="K45" s="31"/>
      <c r="L45" s="33" t="str">
        <f>INDEX($B$37:$B$78,MATCH(9,$J$37:$J$78,0))</f>
        <v>CALABRESA</v>
      </c>
      <c r="M45" s="35">
        <f>INDEX($F$37:$F$78,MATCH(9,$J$37:$J$78,0))</f>
        <v>12.761279999999999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15" customHeight="1" x14ac:dyDescent="0.25">
      <c r="A46" s="31"/>
      <c r="B46" s="33" t="str">
        <f>DESCARTE!A12</f>
        <v>MELANCIA</v>
      </c>
      <c r="C46" s="33" t="str">
        <f t="shared" si="0"/>
        <v>Frutas</v>
      </c>
      <c r="D46" s="34">
        <f>DESCARTE!B12</f>
        <v>1.8220000000000001</v>
      </c>
      <c r="E46" s="35">
        <f>DESCARTE!C12</f>
        <v>3.19</v>
      </c>
      <c r="F46" s="35">
        <f>DESCARTE!D12</f>
        <v>5.8121799999999997</v>
      </c>
      <c r="G46" s="36">
        <f t="shared" si="1"/>
        <v>1.4086270792510684E-2</v>
      </c>
      <c r="H46" s="33" t="s">
        <v>142</v>
      </c>
      <c r="I46" s="33" t="s">
        <v>184</v>
      </c>
      <c r="J46" s="33">
        <f>RANK(F46,$F$37:$F$78)+COUNTIF($F$37:F46,F46)-1</f>
        <v>23</v>
      </c>
      <c r="K46" s="31"/>
      <c r="L46" s="33" t="str">
        <f>INDEX($B$37:$B$78,MATCH(10,$J$37:$J$78,0))</f>
        <v>PEITO DE PERU</v>
      </c>
      <c r="M46" s="35">
        <f>INDEX($F$37:$F$78,MATCH(10,$J$37:$J$78,0))</f>
        <v>11.9907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15" customHeight="1" x14ac:dyDescent="0.25">
      <c r="A47" s="31"/>
      <c r="B47" s="33" t="str">
        <f>DESCARTE!A13</f>
        <v>MELÃO</v>
      </c>
      <c r="C47" s="33" t="str">
        <f t="shared" si="0"/>
        <v>Frutas</v>
      </c>
      <c r="D47" s="34">
        <f>DESCARTE!B13</f>
        <v>0.97199999999999998</v>
      </c>
      <c r="E47" s="35">
        <f>DESCARTE!C13</f>
        <v>10.6</v>
      </c>
      <c r="F47" s="35">
        <f>DESCARTE!D13</f>
        <v>10.303199999999999</v>
      </c>
      <c r="G47" s="36">
        <f t="shared" si="1"/>
        <v>2.4970607453553756E-2</v>
      </c>
      <c r="H47" s="33" t="s">
        <v>143</v>
      </c>
      <c r="I47" s="33" t="s">
        <v>184</v>
      </c>
      <c r="J47" s="33">
        <f>RANK(F47,$F$37:$F$78)+COUNTIF($F$37:F47,F47)-1</f>
        <v>13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15" customHeight="1" x14ac:dyDescent="0.25">
      <c r="A48" s="31"/>
      <c r="B48" s="33" t="str">
        <f>DESCARTE!A14</f>
        <v>MILHO</v>
      </c>
      <c r="C48" s="33" t="str">
        <f t="shared" si="0"/>
        <v>Guarnições</v>
      </c>
      <c r="D48" s="34">
        <f>DESCARTE!B14</f>
        <v>0.53</v>
      </c>
      <c r="E48" s="35">
        <f>DESCARTE!C14</f>
        <v>8.1199999999999992</v>
      </c>
      <c r="F48" s="35">
        <f>DESCARTE!D14</f>
        <v>4.3035999999999994</v>
      </c>
      <c r="G48" s="36">
        <f t="shared" si="1"/>
        <v>1.0430109697677803E-2</v>
      </c>
      <c r="H48" s="33" t="s">
        <v>61</v>
      </c>
      <c r="I48" s="33" t="s">
        <v>186</v>
      </c>
      <c r="J48" s="33">
        <f>RANK(F48,$F$37:$F$78)+COUNTIF($F$37:F48,F48)-1</f>
        <v>32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15" customHeight="1" x14ac:dyDescent="0.25">
      <c r="A49" s="31"/>
      <c r="B49" s="33" t="str">
        <f>DESCARTE!A15</f>
        <v>MINI BISNAGA C/ CREME 30G</v>
      </c>
      <c r="C49" s="33" t="str">
        <f t="shared" si="0"/>
        <v>Padaria</v>
      </c>
      <c r="D49" s="34">
        <f>DESCARTE!B15</f>
        <v>8</v>
      </c>
      <c r="E49" s="35">
        <f>DESCARTE!C15</f>
        <v>0.96</v>
      </c>
      <c r="F49" s="35">
        <f>DESCARTE!D15</f>
        <v>7.68</v>
      </c>
      <c r="G49" s="36">
        <f t="shared" si="1"/>
        <v>1.8613077999387845E-2</v>
      </c>
      <c r="H49" s="33" t="s">
        <v>63</v>
      </c>
      <c r="I49" s="33" t="s">
        <v>186</v>
      </c>
      <c r="J49" s="33">
        <f>RANK(F49,$F$37:$F$78)+COUNTIF($F$37:F49,F49)-1</f>
        <v>21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15" customHeight="1" x14ac:dyDescent="0.25">
      <c r="A50" s="31"/>
      <c r="B50" s="33" t="str">
        <f>DESCARTE!A16</f>
        <v>MINI CIABATA SIMPLES</v>
      </c>
      <c r="C50" s="33" t="str">
        <f t="shared" si="0"/>
        <v>Padaria</v>
      </c>
      <c r="D50" s="34">
        <f>DESCARTE!B16</f>
        <v>10</v>
      </c>
      <c r="E50" s="35">
        <f>DESCARTE!C16</f>
        <v>0.99</v>
      </c>
      <c r="F50" s="35">
        <f>DESCARTE!D16</f>
        <v>9.9</v>
      </c>
      <c r="G50" s="36">
        <f t="shared" si="1"/>
        <v>2.3993420858585898E-2</v>
      </c>
      <c r="H50" s="33" t="s">
        <v>117</v>
      </c>
      <c r="I50" s="33" t="s">
        <v>186</v>
      </c>
      <c r="J50" s="33">
        <f>RANK(F50,$F$37:$F$78)+COUNTIF($F$37:F50,F50)-1</f>
        <v>14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15" customHeight="1" x14ac:dyDescent="0.25">
      <c r="A51" s="31"/>
      <c r="B51" s="33" t="str">
        <f>DESCARTE!A17</f>
        <v>MINI BISNAGA C/ COCO 30G</v>
      </c>
      <c r="C51" s="33" t="str">
        <f t="shared" si="0"/>
        <v>Padaria</v>
      </c>
      <c r="D51" s="34">
        <f>DESCARTE!B17</f>
        <v>10</v>
      </c>
      <c r="E51" s="35">
        <f>DESCARTE!C17</f>
        <v>0.96</v>
      </c>
      <c r="F51" s="35">
        <f>DESCARTE!D17</f>
        <v>9.6</v>
      </c>
      <c r="G51" s="36">
        <f t="shared" si="1"/>
        <v>2.3266347499234809E-2</v>
      </c>
      <c r="H51" s="33" t="s">
        <v>134</v>
      </c>
      <c r="I51" s="33" t="s">
        <v>186</v>
      </c>
      <c r="J51" s="33">
        <f>RANK(F51,$F$37:$F$78)+COUNTIF($F$37:F51,F51)-1</f>
        <v>17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15" customHeight="1" x14ac:dyDescent="0.25">
      <c r="A52" s="31"/>
      <c r="B52" s="33" t="str">
        <f>DESCARTE!A18</f>
        <v>BAGUETE SIMPLES 60CM</v>
      </c>
      <c r="C52" s="33" t="str">
        <f t="shared" si="0"/>
        <v>Padaria</v>
      </c>
      <c r="D52" s="34">
        <f>DESCARTE!B18</f>
        <v>0.5</v>
      </c>
      <c r="E52" s="35">
        <f>DESCARTE!C18</f>
        <v>11.66</v>
      </c>
      <c r="F52" s="35">
        <f>DESCARTE!D18</f>
        <v>5.83</v>
      </c>
      <c r="G52" s="36">
        <f t="shared" si="1"/>
        <v>1.4129458950056139E-2</v>
      </c>
      <c r="H52" s="33" t="s">
        <v>135</v>
      </c>
      <c r="I52" s="33" t="s">
        <v>186</v>
      </c>
      <c r="J52" s="33">
        <f>RANK(F52,$F$37:$F$78)+COUNTIF($F$37:F52,F52)-1</f>
        <v>22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15" customHeight="1" x14ac:dyDescent="0.25">
      <c r="A53" s="31"/>
      <c r="B53" s="33" t="str">
        <f>DESCARTE!A19</f>
        <v>MINI PÃO DE BATATA SIMPLES 30G</v>
      </c>
      <c r="C53" s="33" t="str">
        <f t="shared" si="0"/>
        <v>Padaria</v>
      </c>
      <c r="D53" s="34">
        <f>DESCARTE!B19</f>
        <v>4</v>
      </c>
      <c r="E53" s="35">
        <f>DESCARTE!C19</f>
        <v>0.99</v>
      </c>
      <c r="F53" s="35">
        <f>DESCARTE!D19</f>
        <v>3.96</v>
      </c>
      <c r="G53" s="36">
        <f t="shared" si="1"/>
        <v>9.5973683434343593E-3</v>
      </c>
      <c r="H53" s="33" t="s">
        <v>30</v>
      </c>
      <c r="I53" s="33" t="s">
        <v>182</v>
      </c>
      <c r="J53" s="33">
        <f>RANK(F53,$F$37:$F$78)+COUNTIF($F$37:F53,F53)-1</f>
        <v>34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15" customHeight="1" x14ac:dyDescent="0.25">
      <c r="A54" s="31"/>
      <c r="B54" s="33" t="str">
        <f>DESCARTE!A20</f>
        <v>MINI PÃO FRANCÊS 30G</v>
      </c>
      <c r="C54" s="33" t="str">
        <f t="shared" si="0"/>
        <v>Padaria</v>
      </c>
      <c r="D54" s="34">
        <f>DESCARTE!B20</f>
        <v>27</v>
      </c>
      <c r="E54" s="35">
        <f>DESCARTE!C20</f>
        <v>0.68</v>
      </c>
      <c r="F54" s="35">
        <f>DESCARTE!D20</f>
        <v>18.360000000000003</v>
      </c>
      <c r="G54" s="36">
        <f t="shared" si="1"/>
        <v>4.4496889592286579E-2</v>
      </c>
      <c r="H54" s="33" t="s">
        <v>122</v>
      </c>
      <c r="I54" s="33" t="s">
        <v>182</v>
      </c>
      <c r="J54" s="33">
        <f>RANK(F54,$F$37:$F$78)+COUNTIF($F$37:F54,F54)-1</f>
        <v>7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5" customHeight="1" x14ac:dyDescent="0.25">
      <c r="A55" s="31"/>
      <c r="B55" s="33" t="str">
        <f>DESCARTE!A21</f>
        <v>MINI ROSETA DE AÇÚCAR</v>
      </c>
      <c r="C55" s="33" t="str">
        <f t="shared" si="0"/>
        <v>Padaria</v>
      </c>
      <c r="D55" s="34">
        <f>DESCARTE!B21</f>
        <v>5</v>
      </c>
      <c r="E55" s="35">
        <f>DESCARTE!C21</f>
        <v>1.01</v>
      </c>
      <c r="F55" s="35">
        <f>DESCARTE!D21</f>
        <v>5.05</v>
      </c>
      <c r="G55" s="36">
        <f t="shared" si="1"/>
        <v>1.2239068215743311E-2</v>
      </c>
      <c r="H55" s="33" t="s">
        <v>124</v>
      </c>
      <c r="I55" s="33" t="s">
        <v>182</v>
      </c>
      <c r="J55" s="33">
        <f>RANK(F55,$F$37:$F$78)+COUNTIF($F$37:F55,F55)-1</f>
        <v>25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5" customHeight="1" x14ac:dyDescent="0.25">
      <c r="A56" s="31"/>
      <c r="B56" s="33" t="str">
        <f>DESCARTE!A22</f>
        <v>MINI ROSETA DE LARANJA</v>
      </c>
      <c r="C56" s="33" t="str">
        <f t="shared" si="0"/>
        <v>Padaria</v>
      </c>
      <c r="D56" s="34">
        <f>DESCARTE!B22</f>
        <v>5</v>
      </c>
      <c r="E56" s="35">
        <f>DESCARTE!C22</f>
        <v>0.96</v>
      </c>
      <c r="F56" s="35">
        <f>DESCARTE!D22</f>
        <v>4.8</v>
      </c>
      <c r="G56" s="36">
        <f t="shared" si="1"/>
        <v>1.1633173749617405E-2</v>
      </c>
      <c r="H56" s="33" t="s">
        <v>131</v>
      </c>
      <c r="I56" s="33" t="s">
        <v>182</v>
      </c>
      <c r="J56" s="33">
        <f>RANK(F56,$F$37:$F$78)+COUNTIF($F$37:F56,F56)-1</f>
        <v>29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5" customHeight="1" x14ac:dyDescent="0.25">
      <c r="A57" s="31"/>
      <c r="B57" s="33" t="str">
        <f>DESCARTE!A23</f>
        <v>MINI PÃO FRANCÊS INTEGRAL 30G</v>
      </c>
      <c r="C57" s="33" t="str">
        <f t="shared" si="0"/>
        <v>Padaria</v>
      </c>
      <c r="D57" s="34">
        <f>DESCARTE!B23</f>
        <v>10</v>
      </c>
      <c r="E57" s="35">
        <f>DESCARTE!C23</f>
        <v>0.85</v>
      </c>
      <c r="F57" s="35">
        <f>DESCARTE!D23</f>
        <v>8.5</v>
      </c>
      <c r="G57" s="36">
        <f t="shared" si="1"/>
        <v>2.060041184828082E-2</v>
      </c>
      <c r="H57" s="33" t="s">
        <v>133</v>
      </c>
      <c r="I57" s="33" t="s">
        <v>182</v>
      </c>
      <c r="J57" s="33">
        <f>RANK(F57,$F$37:$F$78)+COUNTIF($F$37:F57,F57)-1</f>
        <v>19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15" customHeight="1" x14ac:dyDescent="0.25">
      <c r="A58" s="31"/>
      <c r="B58" s="33" t="str">
        <f>DESCARTE!A24</f>
        <v>MINI ROSETA DE COCO</v>
      </c>
      <c r="C58" s="33" t="str">
        <f t="shared" si="0"/>
        <v>Padaria</v>
      </c>
      <c r="D58" s="34">
        <f>DESCARTE!B24</f>
        <v>2</v>
      </c>
      <c r="E58" s="35">
        <f>DESCARTE!C24</f>
        <v>1.01</v>
      </c>
      <c r="F58" s="35">
        <f>DESCARTE!D24</f>
        <v>2.02</v>
      </c>
      <c r="G58" s="36">
        <f t="shared" si="1"/>
        <v>4.8956272862973249E-3</v>
      </c>
      <c r="H58" s="33" t="s">
        <v>139</v>
      </c>
      <c r="I58" s="33" t="s">
        <v>182</v>
      </c>
      <c r="J58" s="33">
        <f>RANK(F58,$F$37:$F$78)+COUNTIF($F$37:F58,F58)-1</f>
        <v>38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5" customHeight="1" x14ac:dyDescent="0.25">
      <c r="A59" s="31"/>
      <c r="B59" s="33" t="str">
        <f>DESCARTE!A25</f>
        <v>MINI PÃO MULTIGRÃO RESONDO 30G</v>
      </c>
      <c r="C59" s="33" t="str">
        <f t="shared" si="0"/>
        <v>Padaria</v>
      </c>
      <c r="D59" s="34">
        <f>DESCARTE!B25</f>
        <v>4</v>
      </c>
      <c r="E59" s="35">
        <f>DESCARTE!C25</f>
        <v>1.21</v>
      </c>
      <c r="F59" s="35">
        <f>DESCARTE!D25</f>
        <v>4.84</v>
      </c>
      <c r="G59" s="36">
        <f t="shared" si="1"/>
        <v>1.1730116864197549E-2</v>
      </c>
      <c r="H59" s="33" t="s">
        <v>136</v>
      </c>
      <c r="I59" s="33" t="s">
        <v>182</v>
      </c>
      <c r="J59" s="33">
        <f>RANK(F59,$F$37:$F$78)+COUNTIF($F$37:F59,F59)-1</f>
        <v>27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5" customHeight="1" x14ac:dyDescent="0.25">
      <c r="A60" s="31"/>
      <c r="B60" s="33" t="str">
        <f>DESCARTE!A26</f>
        <v>MINI BRIOCHE SIMPLES</v>
      </c>
      <c r="C60" s="33" t="str">
        <f t="shared" si="0"/>
        <v>Padaria</v>
      </c>
      <c r="D60" s="34">
        <f>DESCARTE!B26</f>
        <v>5</v>
      </c>
      <c r="E60" s="35">
        <f>DESCARTE!C26</f>
        <v>1.08</v>
      </c>
      <c r="F60" s="35">
        <f>DESCARTE!D26</f>
        <v>5.4</v>
      </c>
      <c r="G60" s="36">
        <f t="shared" si="1"/>
        <v>1.3087320468319581E-2</v>
      </c>
      <c r="H60" s="33" t="s">
        <v>76</v>
      </c>
      <c r="I60" s="33" t="s">
        <v>187</v>
      </c>
      <c r="J60" s="33">
        <f>RANK(F60,$F$37:$F$78)+COUNTIF($F$37:F60,F60)-1</f>
        <v>24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5" customHeight="1" x14ac:dyDescent="0.25">
      <c r="A61" s="31"/>
      <c r="B61" s="33" t="str">
        <f>DESCARTE!A27</f>
        <v>MINI PÃO DE BETERRABA 30G</v>
      </c>
      <c r="C61" s="33" t="str">
        <f t="shared" si="0"/>
        <v>Padaria</v>
      </c>
      <c r="D61" s="34">
        <f>DESCARTE!B27</f>
        <v>4</v>
      </c>
      <c r="E61" s="35">
        <f>DESCARTE!C27</f>
        <v>1.21</v>
      </c>
      <c r="F61" s="35">
        <f>DESCARTE!D27</f>
        <v>4.84</v>
      </c>
      <c r="G61" s="36">
        <f t="shared" si="1"/>
        <v>1.1730116864197549E-2</v>
      </c>
      <c r="H61" s="33" t="s">
        <v>23</v>
      </c>
      <c r="I61" s="33" t="s">
        <v>187</v>
      </c>
      <c r="J61" s="33">
        <f>RANK(F61,$F$37:$F$78)+COUNTIF($F$37:F61,F61)-1</f>
        <v>28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5" customHeight="1" x14ac:dyDescent="0.25">
      <c r="A62" s="31"/>
      <c r="B62" s="33" t="str">
        <f>DESCARTE!A28</f>
        <v>MINI PÃO DE MILHO REDONDO</v>
      </c>
      <c r="C62" s="33" t="str">
        <f t="shared" si="0"/>
        <v>Padaria</v>
      </c>
      <c r="D62" s="34">
        <f>DESCARTE!B28</f>
        <v>3</v>
      </c>
      <c r="E62" s="35">
        <f>DESCARTE!C28</f>
        <v>0.99</v>
      </c>
      <c r="F62" s="35">
        <f>DESCARTE!D28</f>
        <v>2.9699999999999998</v>
      </c>
      <c r="G62" s="36">
        <f t="shared" si="1"/>
        <v>7.1980262575757686E-3</v>
      </c>
      <c r="H62" s="33" t="s">
        <v>146</v>
      </c>
      <c r="I62" s="33" t="s">
        <v>187</v>
      </c>
      <c r="J62" s="33">
        <f>RANK(F62,$F$37:$F$78)+COUNTIF($F$37:F62,F62)-1</f>
        <v>36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5" customHeight="1" x14ac:dyDescent="0.25">
      <c r="A63" s="31"/>
      <c r="B63" s="33" t="str">
        <f>DESCARTE!A29</f>
        <v>MUSSARELA</v>
      </c>
      <c r="C63" s="33" t="str">
        <f t="shared" si="0"/>
        <v>Laticínios</v>
      </c>
      <c r="D63" s="34">
        <f>DESCARTE!B29</f>
        <v>0.252</v>
      </c>
      <c r="E63" s="35">
        <f>DESCARTE!C29</f>
        <v>41.9</v>
      </c>
      <c r="F63" s="35">
        <f>DESCARTE!D29</f>
        <v>10.5588</v>
      </c>
      <c r="G63" s="36">
        <f t="shared" si="1"/>
        <v>2.5590073955720886E-2</v>
      </c>
      <c r="H63" s="33" t="s">
        <v>118</v>
      </c>
      <c r="I63" s="33" t="s">
        <v>187</v>
      </c>
      <c r="J63" s="33">
        <f>RANK(F63,$F$37:$F$78)+COUNTIF($F$37:F63,F63)-1</f>
        <v>12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5" customHeight="1" x14ac:dyDescent="0.25">
      <c r="A64" s="31"/>
      <c r="B64" s="33" t="str">
        <f>DESCARTE!A30</f>
        <v>MIX DE SALADAS</v>
      </c>
      <c r="C64" s="33" t="str">
        <f t="shared" si="0"/>
        <v>Guarnições</v>
      </c>
      <c r="D64" s="34">
        <f>DESCARTE!B30</f>
        <v>0.23</v>
      </c>
      <c r="E64" s="35">
        <f>DESCARTE!C30</f>
        <v>56.07</v>
      </c>
      <c r="F64" s="35">
        <f>DESCARTE!D30</f>
        <v>12.896100000000001</v>
      </c>
      <c r="G64" s="36">
        <f t="shared" si="1"/>
        <v>3.1254702498425213E-2</v>
      </c>
      <c r="H64" s="33" t="s">
        <v>81</v>
      </c>
      <c r="I64" s="33" t="s">
        <v>180</v>
      </c>
      <c r="J64" s="33">
        <f>RANK(F64,$F$37:$F$78)+COUNTIF($F$37:F64,F64)-1</f>
        <v>8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15" customHeight="1" x14ac:dyDescent="0.25">
      <c r="A65" s="31"/>
      <c r="B65" s="33" t="str">
        <f>DESCARTE!A31</f>
        <v>OVO MEXIDO</v>
      </c>
      <c r="C65" s="33" t="str">
        <f t="shared" si="0"/>
        <v>Proteínas</v>
      </c>
      <c r="D65" s="34">
        <f>DESCARTE!B31</f>
        <v>1.6160000000000001</v>
      </c>
      <c r="E65" s="35">
        <f>DESCARTE!C31</f>
        <v>16.899999999999999</v>
      </c>
      <c r="F65" s="35">
        <f>DESCARTE!D31</f>
        <v>27.310399999999998</v>
      </c>
      <c r="G65" s="36">
        <f t="shared" si="1"/>
        <v>6.6188880910739822E-2</v>
      </c>
      <c r="H65" s="33" t="s">
        <v>82</v>
      </c>
      <c r="I65" s="33" t="s">
        <v>180</v>
      </c>
      <c r="J65" s="33">
        <f>RANK(F65,$F$37:$F$78)+COUNTIF($F$37:F65,F65)-1</f>
        <v>3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5" customHeight="1" x14ac:dyDescent="0.25">
      <c r="A66" s="31"/>
      <c r="B66" s="33" t="str">
        <f>DESCARTE!A32</f>
        <v>OVO COZIDO</v>
      </c>
      <c r="C66" s="33" t="str">
        <f t="shared" si="0"/>
        <v>Proteínas</v>
      </c>
      <c r="D66" s="34">
        <f>DESCARTE!B32</f>
        <v>10</v>
      </c>
      <c r="E66" s="35">
        <f>DESCARTE!C32</f>
        <v>0.5</v>
      </c>
      <c r="F66" s="35">
        <f>DESCARTE!D32</f>
        <v>5</v>
      </c>
      <c r="G66" s="36">
        <f t="shared" si="1"/>
        <v>1.211788932251813E-2</v>
      </c>
      <c r="H66" s="33" t="s">
        <v>84</v>
      </c>
      <c r="I66" s="33" t="s">
        <v>180</v>
      </c>
      <c r="J66" s="33">
        <f>RANK(F66,$F$37:$F$78)+COUNTIF($F$37:F66,F66)-1</f>
        <v>26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5" customHeight="1" x14ac:dyDescent="0.25">
      <c r="A67" s="31"/>
      <c r="B67" s="33" t="str">
        <f>DESCARTE!A33</f>
        <v>PÃO DE QUEIJO</v>
      </c>
      <c r="C67" s="33" t="str">
        <f t="shared" si="0"/>
        <v>Padaria</v>
      </c>
      <c r="D67" s="34">
        <f>DESCARTE!B33</f>
        <v>1.9139999999999999</v>
      </c>
      <c r="E67" s="35">
        <f>DESCARTE!C33</f>
        <v>16.25</v>
      </c>
      <c r="F67" s="35">
        <f>DESCARTE!D33</f>
        <v>31.102499999999999</v>
      </c>
      <c r="G67" s="36">
        <f t="shared" si="1"/>
        <v>7.5379330530724029E-2</v>
      </c>
      <c r="H67" s="33" t="s">
        <v>85</v>
      </c>
      <c r="I67" s="33" t="s">
        <v>180</v>
      </c>
      <c r="J67" s="33">
        <f>RANK(F67,$F$37:$F$78)+COUNTIF($F$37:F67,F67)-1</f>
        <v>2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5" customHeight="1" x14ac:dyDescent="0.25">
      <c r="A68" s="31"/>
      <c r="B68" s="33" t="str">
        <f>DESCARTE!A34</f>
        <v>PEITO DE PERU</v>
      </c>
      <c r="C68" s="33" t="str">
        <f t="shared" si="0"/>
        <v>Proteínas</v>
      </c>
      <c r="D68" s="34">
        <f>DESCARTE!B34</f>
        <v>0.27</v>
      </c>
      <c r="E68" s="35">
        <f>DESCARTE!C34</f>
        <v>44.41</v>
      </c>
      <c r="F68" s="35">
        <f>DESCARTE!D34</f>
        <v>11.9907</v>
      </c>
      <c r="G68" s="36">
        <f t="shared" si="1"/>
        <v>2.906039509990363E-2</v>
      </c>
      <c r="H68" s="33" t="s">
        <v>92</v>
      </c>
      <c r="I68" s="33" t="s">
        <v>180</v>
      </c>
      <c r="J68" s="33">
        <f>RANK(F68,$F$37:$F$78)+COUNTIF($F$37:F68,F68)-1</f>
        <v>10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5" customHeight="1" x14ac:dyDescent="0.25">
      <c r="A69" s="31"/>
      <c r="B69" s="33" t="str">
        <f>DESCARTE!A35</f>
        <v>PRESUNTO</v>
      </c>
      <c r="C69" s="33" t="str">
        <f t="shared" si="0"/>
        <v>Proteínas</v>
      </c>
      <c r="D69" s="34">
        <f>DESCARTE!B35</f>
        <v>0.34200000000000003</v>
      </c>
      <c r="E69" s="35">
        <f>DESCARTE!C35</f>
        <v>28.9</v>
      </c>
      <c r="F69" s="35">
        <f>DESCARTE!D35</f>
        <v>9.8838000000000008</v>
      </c>
      <c r="G69" s="36">
        <f t="shared" si="1"/>
        <v>2.395415889718094E-2</v>
      </c>
      <c r="H69" s="33" t="s">
        <v>94</v>
      </c>
      <c r="I69" s="33" t="s">
        <v>180</v>
      </c>
      <c r="J69" s="33">
        <f>RANK(F69,$F$37:$F$78)+COUNTIF($F$37:F69,F69)-1</f>
        <v>15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5" customHeight="1" x14ac:dyDescent="0.25">
      <c r="A70" s="31"/>
      <c r="B70" s="33" t="str">
        <f>DESCARTE!A36</f>
        <v>QUEIJO MINAS</v>
      </c>
      <c r="C70" s="33" t="str">
        <f t="shared" si="0"/>
        <v>Laticínios</v>
      </c>
      <c r="D70" s="34">
        <f>DESCARTE!B36</f>
        <v>0.21299999999999999</v>
      </c>
      <c r="E70" s="35">
        <f>DESCARTE!C36</f>
        <v>36.65</v>
      </c>
      <c r="F70" s="35">
        <f>DESCARTE!D36</f>
        <v>7.8064499999999999</v>
      </c>
      <c r="G70" s="36">
        <f t="shared" si="1"/>
        <v>1.891953942035433E-2</v>
      </c>
      <c r="H70" s="33" t="s">
        <v>96</v>
      </c>
      <c r="I70" s="33" t="s">
        <v>180</v>
      </c>
      <c r="J70" s="33">
        <f>RANK(F70,$F$37:$F$78)+COUNTIF($F$37:F70,F70)-1</f>
        <v>20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5" customHeight="1" x14ac:dyDescent="0.25">
      <c r="A71" s="31"/>
      <c r="B71" s="33" t="str">
        <f>DESCARTE!A37</f>
        <v>QUEIJO PRATO</v>
      </c>
      <c r="C71" s="33" t="str">
        <f t="shared" si="0"/>
        <v>Laticínios</v>
      </c>
      <c r="D71" s="34">
        <f>DESCARTE!B37</f>
        <v>0.23</v>
      </c>
      <c r="E71" s="35">
        <f>DESCARTE!C37</f>
        <v>41.78</v>
      </c>
      <c r="F71" s="35">
        <f>DESCARTE!D37</f>
        <v>9.6094000000000008</v>
      </c>
      <c r="G71" s="36">
        <f t="shared" si="1"/>
        <v>2.3289129131161147E-2</v>
      </c>
      <c r="H71" s="33" t="s">
        <v>97</v>
      </c>
      <c r="I71" s="33" t="s">
        <v>180</v>
      </c>
      <c r="J71" s="33">
        <f>RANK(F71,$F$37:$F$78)+COUNTIF($F$37:F71,F71)-1</f>
        <v>16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5" customHeight="1" x14ac:dyDescent="0.25">
      <c r="A72" s="31"/>
      <c r="B72" s="33" t="str">
        <f>DESCARTE!A38</f>
        <v>QUICHE</v>
      </c>
      <c r="C72" s="33" t="str">
        <f t="shared" si="0"/>
        <v>Proteínas</v>
      </c>
      <c r="D72" s="34">
        <f>DESCARTE!B38</f>
        <v>0.34799999999999998</v>
      </c>
      <c r="E72" s="35">
        <f>DESCARTE!C38</f>
        <v>11.85</v>
      </c>
      <c r="F72" s="35">
        <f>DESCARTE!D38</f>
        <v>4.1237999999999992</v>
      </c>
      <c r="G72" s="36">
        <f t="shared" si="1"/>
        <v>9.9943503976400502E-3</v>
      </c>
      <c r="H72" s="33" t="s">
        <v>98</v>
      </c>
      <c r="I72" s="33" t="s">
        <v>180</v>
      </c>
      <c r="J72" s="33">
        <f>RANK(F72,$F$37:$F$78)+COUNTIF($F$37:F72,F72)-1</f>
        <v>33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5" customHeight="1" x14ac:dyDescent="0.25">
      <c r="A73" s="31"/>
      <c r="B73" s="33" t="str">
        <f>DESCARTE!A39</f>
        <v>SALADA DE FRUTAS</v>
      </c>
      <c r="C73" s="33" t="str">
        <f t="shared" si="0"/>
        <v>Frutas</v>
      </c>
      <c r="D73" s="34">
        <f>DESCARTE!B39</f>
        <v>0.57799999999999996</v>
      </c>
      <c r="E73" s="35">
        <f>DESCARTE!C39</f>
        <v>0</v>
      </c>
      <c r="F73" s="35">
        <f>DESCARTE!D39</f>
        <v>0</v>
      </c>
      <c r="G73" s="36">
        <f t="shared" si="1"/>
        <v>0</v>
      </c>
      <c r="H73" s="33" t="s">
        <v>100</v>
      </c>
      <c r="I73" s="33" t="s">
        <v>180</v>
      </c>
      <c r="J73" s="33">
        <f>RANK(F73,$F$37:$F$78)+COUNTIF($F$37:F73,F73)-1</f>
        <v>42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5" customHeight="1" x14ac:dyDescent="0.25">
      <c r="A74" s="31"/>
      <c r="B74" s="33" t="str">
        <f>DESCARTE!A40</f>
        <v>SALSICHA</v>
      </c>
      <c r="C74" s="33" t="str">
        <f t="shared" si="0"/>
        <v>Proteínas</v>
      </c>
      <c r="D74" s="34">
        <f>DESCARTE!B40</f>
        <v>1.476</v>
      </c>
      <c r="E74" s="35">
        <f>DESCARTE!C40</f>
        <v>7.61</v>
      </c>
      <c r="F74" s="35">
        <f>DESCARTE!D40</f>
        <v>11.23236</v>
      </c>
      <c r="G74" s="36">
        <f t="shared" si="1"/>
        <v>2.7222499062135946E-2</v>
      </c>
      <c r="H74" s="33" t="s">
        <v>102</v>
      </c>
      <c r="I74" s="33" t="s">
        <v>180</v>
      </c>
      <c r="J74" s="33">
        <f>RANK(F74,$F$37:$F$78)+COUNTIF($F$37:F74,F74)-1</f>
        <v>11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5" customHeight="1" x14ac:dyDescent="0.25">
      <c r="A75" s="31"/>
      <c r="B75" s="33" t="str">
        <f>DESCARTE!A41</f>
        <v>SUCO DE MELANCIA</v>
      </c>
      <c r="C75" s="33" t="str">
        <f t="shared" si="0"/>
        <v>Bebidas</v>
      </c>
      <c r="D75" s="34">
        <f>DESCARTE!B41</f>
        <v>2.5</v>
      </c>
      <c r="E75" s="35">
        <f>DESCARTE!C41</f>
        <v>9.57</v>
      </c>
      <c r="F75" s="35">
        <f>DESCARTE!D41</f>
        <v>23.925000000000001</v>
      </c>
      <c r="G75" s="36">
        <f t="shared" si="1"/>
        <v>5.7984100408249251E-2</v>
      </c>
      <c r="H75" s="33" t="s">
        <v>106</v>
      </c>
      <c r="I75" s="33" t="s">
        <v>180</v>
      </c>
      <c r="J75" s="33">
        <f>RANK(F75,$F$37:$F$78)+COUNTIF($F$37:F75,F75)-1</f>
        <v>6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5" customHeight="1" x14ac:dyDescent="0.25">
      <c r="A76" s="31"/>
      <c r="B76" s="33" t="str">
        <f>DESCARTE!A42</f>
        <v>SUCO DE LARANJA COM MAMAO</v>
      </c>
      <c r="C76" s="33" t="str">
        <f t="shared" si="0"/>
        <v>Bebidas</v>
      </c>
      <c r="D76" s="34">
        <f>DESCARTE!B42</f>
        <v>0.84199999999999997</v>
      </c>
      <c r="E76" s="35">
        <f>DESCARTE!C42</f>
        <v>30.85</v>
      </c>
      <c r="F76" s="35">
        <f>DESCARTE!D42</f>
        <v>25.9757</v>
      </c>
      <c r="G76" s="36">
        <f t="shared" si="1"/>
        <v>6.2954131534986843E-2</v>
      </c>
      <c r="H76" s="33" t="s">
        <v>107</v>
      </c>
      <c r="I76" s="33" t="s">
        <v>180</v>
      </c>
      <c r="J76" s="33">
        <f>RANK(F76,$F$37:$F$78)+COUNTIF($F$37:F76,F76)-1</f>
        <v>5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5" customHeight="1" x14ac:dyDescent="0.25">
      <c r="A77" s="31"/>
      <c r="B77" s="33" t="str">
        <f>DESCARTE!A43</f>
        <v>SUCO DE LARANJA</v>
      </c>
      <c r="C77" s="33" t="str">
        <f t="shared" si="0"/>
        <v>Bebidas</v>
      </c>
      <c r="D77" s="34">
        <f>DESCARTE!B43</f>
        <v>1.022</v>
      </c>
      <c r="E77" s="35">
        <f>DESCARTE!C43</f>
        <v>8.84</v>
      </c>
      <c r="F77" s="35">
        <f>DESCARTE!D43</f>
        <v>9.0344800000000003</v>
      </c>
      <c r="G77" s="36">
        <f t="shared" si="1"/>
        <v>2.1895765745300718E-2</v>
      </c>
      <c r="H77" s="33" t="s">
        <v>110</v>
      </c>
      <c r="I77" s="33" t="s">
        <v>180</v>
      </c>
      <c r="J77" s="33">
        <f>RANK(F77,$F$37:$F$78)+COUNTIF($F$37:F77,F77)-1</f>
        <v>18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5" customHeight="1" x14ac:dyDescent="0.25">
      <c r="A78" s="31"/>
      <c r="B78" s="33" t="str">
        <f>DESCARTE!A44</f>
        <v>TOMATE ASSADO</v>
      </c>
      <c r="C78" s="33" t="str">
        <f t="shared" si="0"/>
        <v>Guarnições</v>
      </c>
      <c r="D78" s="34">
        <f>DESCARTE!B44</f>
        <v>0.77400000000000002</v>
      </c>
      <c r="E78" s="35">
        <f>DESCARTE!C44</f>
        <v>5.95</v>
      </c>
      <c r="F78" s="35">
        <f>DESCARTE!D44</f>
        <v>4.6053000000000006</v>
      </c>
      <c r="G78" s="36">
        <f t="shared" si="1"/>
        <v>1.1161303139398551E-2</v>
      </c>
      <c r="H78" s="33" t="s">
        <v>127</v>
      </c>
      <c r="I78" s="33" t="s">
        <v>180</v>
      </c>
      <c r="J78" s="33">
        <f>RANK(F78,$F$37:$F$78)+COUNTIF($F$37:F78,F78)-1</f>
        <v>30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5" customHeight="1" x14ac:dyDescent="0.25">
      <c r="A79" s="31"/>
      <c r="B79" s="37" t="s">
        <v>150</v>
      </c>
      <c r="C79" s="31"/>
      <c r="D79" s="31"/>
      <c r="E79" s="31"/>
      <c r="F79" s="38">
        <f>SUM(F37:F78)</f>
        <v>412.61311000000012</v>
      </c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1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1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1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1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1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1:25" ht="1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1:25" ht="1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1:25" ht="1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spans="1:25" ht="1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</sheetData>
  <mergeCells count="21">
    <mergeCell ref="B2:S2"/>
    <mergeCell ref="B3:S4"/>
    <mergeCell ref="B6:C6"/>
    <mergeCell ref="E6:F6"/>
    <mergeCell ref="H6:I6"/>
    <mergeCell ref="K6:L6"/>
    <mergeCell ref="N6:O6"/>
    <mergeCell ref="Q6:R6"/>
    <mergeCell ref="B35:F35"/>
    <mergeCell ref="Q7:R7"/>
    <mergeCell ref="B8:C8"/>
    <mergeCell ref="E8:F8"/>
    <mergeCell ref="H8:I8"/>
    <mergeCell ref="K8:L8"/>
    <mergeCell ref="N8:O8"/>
    <mergeCell ref="Q8:R8"/>
    <mergeCell ref="B7:C7"/>
    <mergeCell ref="E7:F7"/>
    <mergeCell ref="H7:I7"/>
    <mergeCell ref="K7:L7"/>
    <mergeCell ref="N7:O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078C-99BB-412F-8F4A-97659B70682E}">
  <dimension ref="A1"/>
  <sheetViews>
    <sheetView showGridLines="0" workbookViewId="0">
      <selection activeCell="M27" sqref="M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zoomScaleNormal="100" workbookViewId="0">
      <selection activeCell="J14" sqref="J14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2.42578125" customWidth="1"/>
  </cols>
  <sheetData>
    <row r="1" spans="1:10" ht="15" customHeight="1" x14ac:dyDescent="0.25">
      <c r="A1" s="104" t="s">
        <v>189</v>
      </c>
      <c r="B1" s="104"/>
      <c r="C1" s="105" t="s">
        <v>190</v>
      </c>
      <c r="D1" s="105"/>
      <c r="E1" s="105"/>
      <c r="F1" s="105"/>
      <c r="G1" s="106">
        <v>1</v>
      </c>
      <c r="H1" s="107" t="s">
        <v>191</v>
      </c>
      <c r="I1" s="107"/>
      <c r="J1" s="107"/>
    </row>
    <row r="2" spans="1:10" ht="15.75" customHeight="1" x14ac:dyDescent="0.25">
      <c r="A2" s="104"/>
      <c r="B2" s="104"/>
      <c r="C2" s="105"/>
      <c r="D2" s="105"/>
      <c r="E2" s="105"/>
      <c r="F2" s="105"/>
      <c r="G2" s="106"/>
      <c r="H2" s="107"/>
      <c r="I2" s="107"/>
      <c r="J2" s="107"/>
    </row>
    <row r="3" spans="1:10" ht="45.75" customHeight="1" x14ac:dyDescent="0.25">
      <c r="A3" s="39" t="s">
        <v>192</v>
      </c>
      <c r="B3" s="39" t="s">
        <v>193</v>
      </c>
      <c r="C3" s="108" t="s">
        <v>194</v>
      </c>
      <c r="D3" s="108"/>
      <c r="E3" s="108" t="s">
        <v>195</v>
      </c>
      <c r="F3" s="108"/>
      <c r="G3" s="40" t="s">
        <v>196</v>
      </c>
      <c r="H3" s="40" t="s">
        <v>197</v>
      </c>
      <c r="I3" s="41" t="s">
        <v>198</v>
      </c>
      <c r="J3" s="40" t="s">
        <v>199</v>
      </c>
    </row>
    <row r="4" spans="1:10" ht="15.75" customHeight="1" x14ac:dyDescent="0.25">
      <c r="A4" s="42"/>
      <c r="B4" s="43" t="s">
        <v>200</v>
      </c>
      <c r="C4" s="101">
        <v>0.1</v>
      </c>
      <c r="D4" s="101"/>
      <c r="E4" s="102"/>
      <c r="F4" s="102"/>
      <c r="G4" s="44">
        <f>CUSTO!G111</f>
        <v>41.9</v>
      </c>
      <c r="H4" s="45">
        <v>1</v>
      </c>
      <c r="I4" s="44">
        <f>G4/H4</f>
        <v>41.9</v>
      </c>
      <c r="J4" s="46">
        <f>C4*I4</f>
        <v>4.1900000000000004</v>
      </c>
    </row>
    <row r="5" spans="1:10" ht="15.75" customHeight="1" x14ac:dyDescent="0.25">
      <c r="A5" s="47"/>
      <c r="B5" s="48" t="s">
        <v>10</v>
      </c>
      <c r="C5" s="103">
        <v>0.2</v>
      </c>
      <c r="D5" s="103"/>
      <c r="E5" s="102"/>
      <c r="F5" s="102"/>
      <c r="G5" s="44">
        <v>4.37</v>
      </c>
      <c r="H5" s="45">
        <v>1</v>
      </c>
      <c r="I5" s="44">
        <f>G5/H5</f>
        <v>4.37</v>
      </c>
      <c r="J5" s="46">
        <f>C5*I5</f>
        <v>0.87400000000000011</v>
      </c>
    </row>
    <row r="6" spans="1:10" ht="15.75" customHeight="1" x14ac:dyDescent="0.25">
      <c r="A6" s="47"/>
      <c r="B6" s="48" t="s">
        <v>201</v>
      </c>
      <c r="C6" s="103">
        <v>0.1</v>
      </c>
      <c r="D6" s="103"/>
      <c r="E6" s="102"/>
      <c r="F6" s="102"/>
      <c r="G6" s="44">
        <v>8.7799999999999994</v>
      </c>
      <c r="H6" s="45">
        <v>1</v>
      </c>
      <c r="I6" s="44">
        <f>G6/H6</f>
        <v>8.7799999999999994</v>
      </c>
      <c r="J6" s="46">
        <f>C6*I6</f>
        <v>0.878</v>
      </c>
    </row>
    <row r="7" spans="1:10" ht="15.75" customHeight="1" x14ac:dyDescent="0.25">
      <c r="A7" s="47"/>
      <c r="B7" s="49" t="s">
        <v>202</v>
      </c>
      <c r="C7" s="98">
        <v>0.2</v>
      </c>
      <c r="D7" s="98"/>
      <c r="E7" s="99"/>
      <c r="F7" s="99"/>
      <c r="G7" s="44">
        <v>4.75</v>
      </c>
      <c r="H7" s="45">
        <v>1</v>
      </c>
      <c r="I7" s="44">
        <f>G7/H7</f>
        <v>4.75</v>
      </c>
      <c r="J7" s="46">
        <f>C7*I7</f>
        <v>0.95000000000000007</v>
      </c>
    </row>
    <row r="8" spans="1:10" ht="16.5" customHeight="1" x14ac:dyDescent="0.25">
      <c r="A8" s="47"/>
      <c r="B8" s="49" t="s">
        <v>203</v>
      </c>
      <c r="C8" s="98">
        <v>0.01</v>
      </c>
      <c r="D8" s="98"/>
      <c r="E8" s="99"/>
      <c r="F8" s="99"/>
      <c r="G8" s="44">
        <v>11.76</v>
      </c>
      <c r="H8" s="45">
        <v>1</v>
      </c>
      <c r="I8" s="44">
        <f>G8/H8</f>
        <v>11.76</v>
      </c>
      <c r="J8" s="46">
        <f>C8*I8</f>
        <v>0.1176</v>
      </c>
    </row>
    <row r="9" spans="1:10" ht="16.5" customHeight="1" x14ac:dyDescent="0.25">
      <c r="A9" s="51"/>
      <c r="B9" s="52"/>
      <c r="C9" s="53"/>
      <c r="D9" s="53"/>
      <c r="E9" s="53"/>
      <c r="F9" s="53"/>
      <c r="G9" s="53"/>
      <c r="H9" s="54"/>
      <c r="I9" s="51"/>
      <c r="J9" s="55">
        <f>SUM(J4:J8)</f>
        <v>7.0096000000000007</v>
      </c>
    </row>
    <row r="10" spans="1:10" ht="16.5" customHeight="1" x14ac:dyDescent="0.25">
      <c r="A10" s="56"/>
      <c r="B10" s="57" t="s">
        <v>204</v>
      </c>
      <c r="C10" s="58" t="s">
        <v>205</v>
      </c>
      <c r="D10" s="58"/>
      <c r="E10" s="59"/>
      <c r="F10" s="59"/>
      <c r="G10" s="60"/>
      <c r="H10" s="60"/>
      <c r="I10" s="60"/>
      <c r="J10" s="61"/>
    </row>
    <row r="11" spans="1:10" ht="30.75" customHeight="1" x14ac:dyDescent="0.25">
      <c r="A11" s="62" t="s">
        <v>206</v>
      </c>
      <c r="B11" s="63"/>
      <c r="C11" s="100" t="s">
        <v>207</v>
      </c>
      <c r="D11" s="100"/>
      <c r="E11" s="100" t="s">
        <v>208</v>
      </c>
      <c r="F11" s="100"/>
      <c r="G11" s="96"/>
      <c r="H11" s="64"/>
      <c r="I11" s="65"/>
      <c r="J11" s="97" t="s">
        <v>209</v>
      </c>
    </row>
    <row r="12" spans="1:10" ht="15" customHeight="1" x14ac:dyDescent="0.25">
      <c r="A12" s="66"/>
      <c r="B12" s="67"/>
      <c r="C12" s="68" t="s">
        <v>210</v>
      </c>
      <c r="D12" s="68" t="s">
        <v>211</v>
      </c>
      <c r="E12" s="68" t="s">
        <v>210</v>
      </c>
      <c r="F12" s="68" t="s">
        <v>211</v>
      </c>
      <c r="G12" s="96"/>
      <c r="H12" s="69"/>
      <c r="I12" s="70"/>
      <c r="J12" s="97"/>
    </row>
    <row r="13" spans="1:10" ht="15.75" customHeight="1" x14ac:dyDescent="0.25">
      <c r="A13" s="71"/>
      <c r="B13" s="72"/>
      <c r="C13" s="73">
        <f>J9</f>
        <v>7.0096000000000007</v>
      </c>
      <c r="D13" s="74">
        <v>0.3</v>
      </c>
      <c r="E13" s="75"/>
      <c r="F13" s="76"/>
      <c r="G13" s="77"/>
      <c r="H13" s="78"/>
      <c r="I13" s="79"/>
      <c r="J13" s="80">
        <f>J9</f>
        <v>7.0096000000000007</v>
      </c>
    </row>
  </sheetData>
  <mergeCells count="20">
    <mergeCell ref="A1:B2"/>
    <mergeCell ref="C1:F2"/>
    <mergeCell ref="G1:G2"/>
    <mergeCell ref="H1:J2"/>
    <mergeCell ref="C3:D3"/>
    <mergeCell ref="E3:F3"/>
    <mergeCell ref="C4:D4"/>
    <mergeCell ref="E4:F4"/>
    <mergeCell ref="C5:D5"/>
    <mergeCell ref="E5:F5"/>
    <mergeCell ref="C6:D6"/>
    <mergeCell ref="E6:F6"/>
    <mergeCell ref="G11:G12"/>
    <mergeCell ref="J11:J12"/>
    <mergeCell ref="C7:D7"/>
    <mergeCell ref="E7:F7"/>
    <mergeCell ref="C8:D8"/>
    <mergeCell ref="E8:F8"/>
    <mergeCell ref="C11:D11"/>
    <mergeCell ref="E11:F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zoomScaleNormal="100" workbookViewId="0">
      <selection activeCell="J8" sqref="J8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10" width="9.85546875" customWidth="1"/>
  </cols>
  <sheetData>
    <row r="1" spans="1:10" ht="15" customHeight="1" x14ac:dyDescent="0.25">
      <c r="A1" s="104" t="s">
        <v>212</v>
      </c>
      <c r="B1" s="104"/>
      <c r="C1" s="105" t="s">
        <v>190</v>
      </c>
      <c r="D1" s="105"/>
      <c r="E1" s="105"/>
      <c r="F1" s="105"/>
      <c r="G1" s="106">
        <v>1</v>
      </c>
      <c r="H1" s="107" t="s">
        <v>191</v>
      </c>
      <c r="I1" s="107"/>
      <c r="J1" s="107"/>
    </row>
    <row r="2" spans="1:10" ht="15.75" customHeight="1" x14ac:dyDescent="0.25">
      <c r="A2" s="104"/>
      <c r="B2" s="104"/>
      <c r="C2" s="105"/>
      <c r="D2" s="105"/>
      <c r="E2" s="105"/>
      <c r="F2" s="105"/>
      <c r="G2" s="106"/>
      <c r="H2" s="107"/>
      <c r="I2" s="107"/>
      <c r="J2" s="107"/>
    </row>
    <row r="3" spans="1:10" ht="45.75" customHeight="1" x14ac:dyDescent="0.25">
      <c r="A3" s="39" t="s">
        <v>192</v>
      </c>
      <c r="B3" s="39" t="s">
        <v>193</v>
      </c>
      <c r="C3" s="108" t="s">
        <v>194</v>
      </c>
      <c r="D3" s="108"/>
      <c r="E3" s="108" t="s">
        <v>195</v>
      </c>
      <c r="F3" s="108"/>
      <c r="G3" s="40" t="s">
        <v>196</v>
      </c>
      <c r="H3" s="40" t="s">
        <v>197</v>
      </c>
      <c r="I3" s="41" t="s">
        <v>198</v>
      </c>
      <c r="J3" s="40" t="s">
        <v>199</v>
      </c>
    </row>
    <row r="4" spans="1:10" ht="15.75" customHeight="1" x14ac:dyDescent="0.25">
      <c r="A4" s="42"/>
      <c r="B4" s="43" t="s">
        <v>41</v>
      </c>
      <c r="C4" s="101">
        <v>0.05</v>
      </c>
      <c r="D4" s="101"/>
      <c r="E4" s="102"/>
      <c r="F4" s="102"/>
      <c r="G4" s="44">
        <v>46.2</v>
      </c>
      <c r="H4" s="45">
        <v>1</v>
      </c>
      <c r="I4" s="44">
        <f>G4/H4</f>
        <v>46.2</v>
      </c>
      <c r="J4" s="46">
        <f>C4*I4</f>
        <v>2.31</v>
      </c>
    </row>
    <row r="5" spans="1:10" ht="16.5" customHeight="1" x14ac:dyDescent="0.25">
      <c r="A5" s="47"/>
      <c r="B5" s="48" t="s">
        <v>213</v>
      </c>
      <c r="C5" s="103">
        <v>0.05</v>
      </c>
      <c r="D5" s="103"/>
      <c r="E5" s="102"/>
      <c r="F5" s="102"/>
      <c r="G5" s="44">
        <v>4.5599999999999996</v>
      </c>
      <c r="H5" s="45">
        <v>1</v>
      </c>
      <c r="I5" s="44">
        <f>G5/H5</f>
        <v>4.5599999999999996</v>
      </c>
      <c r="J5" s="46">
        <f>C5*I5</f>
        <v>0.22799999999999998</v>
      </c>
    </row>
    <row r="6" spans="1:10" ht="15" customHeight="1" x14ac:dyDescent="0.25">
      <c r="A6" s="66"/>
      <c r="B6" s="67"/>
      <c r="C6" s="68" t="s">
        <v>210</v>
      </c>
      <c r="D6" s="68" t="s">
        <v>211</v>
      </c>
      <c r="E6" s="68" t="s">
        <v>210</v>
      </c>
      <c r="F6" s="68" t="s">
        <v>211</v>
      </c>
      <c r="G6" s="81"/>
      <c r="H6" s="69"/>
      <c r="I6" s="70"/>
      <c r="J6" s="82">
        <f>SUM(J4:J5)</f>
        <v>2.5380000000000003</v>
      </c>
    </row>
    <row r="7" spans="1:10" ht="15.75" customHeight="1" x14ac:dyDescent="0.25">
      <c r="A7" s="71"/>
      <c r="B7" s="72"/>
      <c r="C7" s="73">
        <f>J6</f>
        <v>2.5380000000000003</v>
      </c>
      <c r="D7" s="74">
        <v>0.3</v>
      </c>
      <c r="E7" s="75"/>
      <c r="F7" s="76"/>
      <c r="G7" s="77"/>
      <c r="H7" s="78"/>
      <c r="I7" s="79"/>
      <c r="J7" s="80"/>
    </row>
  </sheetData>
  <mergeCells count="10">
    <mergeCell ref="H1:J2"/>
    <mergeCell ref="C3:D3"/>
    <mergeCell ref="E3:F3"/>
    <mergeCell ref="C4:D4"/>
    <mergeCell ref="E4:F4"/>
    <mergeCell ref="C5:D5"/>
    <mergeCell ref="E5:F5"/>
    <mergeCell ref="A1:B2"/>
    <mergeCell ref="C1:F2"/>
    <mergeCell ref="G1:G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zoomScaleNormal="100" workbookViewId="0">
      <selection activeCell="J15" sqref="J15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2.42578125" customWidth="1"/>
  </cols>
  <sheetData>
    <row r="1" spans="1:10" ht="15" customHeight="1" x14ac:dyDescent="0.25">
      <c r="A1" s="104" t="s">
        <v>136</v>
      </c>
      <c r="B1" s="104"/>
      <c r="C1" s="105" t="s">
        <v>190</v>
      </c>
      <c r="D1" s="105"/>
      <c r="E1" s="105"/>
      <c r="F1" s="105"/>
      <c r="G1" s="106">
        <v>1</v>
      </c>
      <c r="H1" s="107" t="s">
        <v>191</v>
      </c>
      <c r="I1" s="107"/>
      <c r="J1" s="107"/>
    </row>
    <row r="2" spans="1:10" ht="15.75" customHeight="1" x14ac:dyDescent="0.25">
      <c r="A2" s="104"/>
      <c r="B2" s="104"/>
      <c r="C2" s="105"/>
      <c r="D2" s="105"/>
      <c r="E2" s="105"/>
      <c r="F2" s="105"/>
      <c r="G2" s="106"/>
      <c r="H2" s="107"/>
      <c r="I2" s="107"/>
      <c r="J2" s="107"/>
    </row>
    <row r="3" spans="1:10" ht="45.75" customHeight="1" x14ac:dyDescent="0.25">
      <c r="A3" s="39" t="s">
        <v>192</v>
      </c>
      <c r="B3" s="39" t="s">
        <v>193</v>
      </c>
      <c r="C3" s="108" t="s">
        <v>194</v>
      </c>
      <c r="D3" s="108"/>
      <c r="E3" s="108" t="s">
        <v>195</v>
      </c>
      <c r="F3" s="108"/>
      <c r="G3" s="40" t="s">
        <v>196</v>
      </c>
      <c r="H3" s="40" t="s">
        <v>197</v>
      </c>
      <c r="I3" s="41" t="s">
        <v>198</v>
      </c>
      <c r="J3" s="40" t="s">
        <v>199</v>
      </c>
    </row>
    <row r="4" spans="1:10" ht="15.75" customHeight="1" x14ac:dyDescent="0.25">
      <c r="A4" s="42"/>
      <c r="B4" s="43" t="s">
        <v>214</v>
      </c>
      <c r="C4" s="101">
        <v>0.5</v>
      </c>
      <c r="D4" s="101"/>
      <c r="E4" s="102"/>
      <c r="F4" s="102"/>
      <c r="G4" s="44">
        <v>6.85</v>
      </c>
      <c r="H4" s="45">
        <v>1</v>
      </c>
      <c r="I4" s="44">
        <f t="shared" ref="I4:I9" si="0">G4/H4</f>
        <v>6.85</v>
      </c>
      <c r="J4" s="46">
        <f t="shared" ref="J4:J9" si="1">C4*I4</f>
        <v>3.4249999999999998</v>
      </c>
    </row>
    <row r="5" spans="1:10" ht="15.75" customHeight="1" x14ac:dyDescent="0.25">
      <c r="A5" s="47"/>
      <c r="B5" s="48" t="s">
        <v>215</v>
      </c>
      <c r="C5" s="103">
        <v>0.3</v>
      </c>
      <c r="D5" s="103"/>
      <c r="E5" s="102"/>
      <c r="F5" s="102"/>
      <c r="G5" s="44">
        <v>14.94</v>
      </c>
      <c r="H5" s="45">
        <v>1</v>
      </c>
      <c r="I5" s="44">
        <f t="shared" si="0"/>
        <v>14.94</v>
      </c>
      <c r="J5" s="46">
        <f t="shared" si="1"/>
        <v>4.4819999999999993</v>
      </c>
    </row>
    <row r="6" spans="1:10" ht="15.75" customHeight="1" x14ac:dyDescent="0.25">
      <c r="A6" s="47"/>
      <c r="B6" s="48" t="s">
        <v>216</v>
      </c>
      <c r="C6" s="103">
        <v>0.25</v>
      </c>
      <c r="D6" s="103"/>
      <c r="E6" s="102"/>
      <c r="F6" s="102"/>
      <c r="G6" s="44">
        <v>11.2</v>
      </c>
      <c r="H6" s="45">
        <v>1</v>
      </c>
      <c r="I6" s="44">
        <f t="shared" si="0"/>
        <v>11.2</v>
      </c>
      <c r="J6" s="46">
        <f t="shared" si="1"/>
        <v>2.8</v>
      </c>
    </row>
    <row r="7" spans="1:10" ht="15.75" customHeight="1" x14ac:dyDescent="0.25">
      <c r="A7" s="47"/>
      <c r="B7" s="49" t="s">
        <v>217</v>
      </c>
      <c r="C7" s="98">
        <v>0.03</v>
      </c>
      <c r="D7" s="98"/>
      <c r="E7" s="99"/>
      <c r="F7" s="99"/>
      <c r="G7" s="44">
        <v>7.23</v>
      </c>
      <c r="H7" s="45">
        <v>1</v>
      </c>
      <c r="I7" s="44">
        <f t="shared" si="0"/>
        <v>7.23</v>
      </c>
      <c r="J7" s="46">
        <f t="shared" si="1"/>
        <v>0.21690000000000001</v>
      </c>
    </row>
    <row r="8" spans="1:10" ht="15.75" customHeight="1" x14ac:dyDescent="0.25">
      <c r="A8" s="47"/>
      <c r="B8" s="49" t="s">
        <v>213</v>
      </c>
      <c r="C8" s="98">
        <v>0.2</v>
      </c>
      <c r="D8" s="98"/>
      <c r="E8" s="99"/>
      <c r="F8" s="99"/>
      <c r="G8" s="44">
        <v>4.5599999999999996</v>
      </c>
      <c r="H8" s="45">
        <v>1</v>
      </c>
      <c r="I8" s="44">
        <f t="shared" si="0"/>
        <v>4.5599999999999996</v>
      </c>
      <c r="J8" s="46">
        <f t="shared" si="1"/>
        <v>0.91199999999999992</v>
      </c>
    </row>
    <row r="9" spans="1:10" ht="16.5" customHeight="1" x14ac:dyDescent="0.25">
      <c r="A9" s="83"/>
      <c r="B9" s="49" t="s">
        <v>218</v>
      </c>
      <c r="C9" s="98">
        <v>0.01</v>
      </c>
      <c r="D9" s="98"/>
      <c r="E9" s="99"/>
      <c r="F9" s="99"/>
      <c r="G9" s="44">
        <v>0.99</v>
      </c>
      <c r="H9" s="45">
        <v>1</v>
      </c>
      <c r="I9" s="44">
        <f t="shared" si="0"/>
        <v>0.99</v>
      </c>
      <c r="J9" s="46">
        <f t="shared" si="1"/>
        <v>9.9000000000000008E-3</v>
      </c>
    </row>
    <row r="10" spans="1:10" ht="16.5" customHeight="1" x14ac:dyDescent="0.25">
      <c r="A10" s="51"/>
      <c r="B10" s="52"/>
      <c r="C10" s="53"/>
      <c r="D10" s="53"/>
      <c r="E10" s="53"/>
      <c r="F10" s="53"/>
      <c r="G10" s="53"/>
      <c r="H10" s="54"/>
      <c r="I10" s="51"/>
      <c r="J10" s="55">
        <f>SUM(J4:J9)</f>
        <v>11.845799999999999</v>
      </c>
    </row>
    <row r="11" spans="1:10" ht="16.5" customHeight="1" x14ac:dyDescent="0.25">
      <c r="A11" s="56"/>
      <c r="B11" s="57" t="s">
        <v>204</v>
      </c>
      <c r="C11" s="58" t="s">
        <v>205</v>
      </c>
      <c r="D11" s="58"/>
      <c r="E11" s="59"/>
      <c r="F11" s="59"/>
      <c r="G11" s="60"/>
      <c r="H11" s="60"/>
      <c r="I11" s="60"/>
      <c r="J11" s="61"/>
    </row>
    <row r="12" spans="1:10" ht="30.75" customHeight="1" x14ac:dyDescent="0.25">
      <c r="A12" s="62" t="s">
        <v>206</v>
      </c>
      <c r="B12" s="63"/>
      <c r="C12" s="100" t="s">
        <v>207</v>
      </c>
      <c r="D12" s="100"/>
      <c r="E12" s="100" t="s">
        <v>208</v>
      </c>
      <c r="F12" s="100"/>
      <c r="G12" s="96"/>
      <c r="H12" s="64"/>
      <c r="I12" s="65"/>
      <c r="J12" s="97" t="s">
        <v>219</v>
      </c>
    </row>
    <row r="13" spans="1:10" ht="15" customHeight="1" x14ac:dyDescent="0.25">
      <c r="A13" s="66"/>
      <c r="B13" s="67"/>
      <c r="C13" s="68" t="s">
        <v>210</v>
      </c>
      <c r="D13" s="68" t="s">
        <v>211</v>
      </c>
      <c r="E13" s="68" t="s">
        <v>210</v>
      </c>
      <c r="F13" s="68" t="s">
        <v>211</v>
      </c>
      <c r="G13" s="96"/>
      <c r="H13" s="69"/>
      <c r="I13" s="70"/>
      <c r="J13" s="97"/>
    </row>
    <row r="14" spans="1:10" ht="15.75" customHeight="1" x14ac:dyDescent="0.25">
      <c r="A14" s="71"/>
      <c r="B14" s="72"/>
      <c r="C14" s="73">
        <f>J10</f>
        <v>11.845799999999999</v>
      </c>
      <c r="D14" s="74">
        <v>0.3</v>
      </c>
      <c r="E14" s="75"/>
      <c r="F14" s="76"/>
      <c r="G14" s="77"/>
      <c r="H14" s="78"/>
      <c r="I14" s="79"/>
      <c r="J14" s="80">
        <f>J10</f>
        <v>11.845799999999999</v>
      </c>
    </row>
  </sheetData>
  <mergeCells count="22">
    <mergeCell ref="A1:B2"/>
    <mergeCell ref="C1:F2"/>
    <mergeCell ref="G1:G2"/>
    <mergeCell ref="H1:J2"/>
    <mergeCell ref="C3:D3"/>
    <mergeCell ref="E3:F3"/>
    <mergeCell ref="C4:D4"/>
    <mergeCell ref="E4:F4"/>
    <mergeCell ref="C5:D5"/>
    <mergeCell ref="E5:F5"/>
    <mergeCell ref="C6:D6"/>
    <mergeCell ref="E6:F6"/>
    <mergeCell ref="C12:D12"/>
    <mergeCell ref="E12:F12"/>
    <mergeCell ref="G12:G13"/>
    <mergeCell ref="J12:J13"/>
    <mergeCell ref="C7:D7"/>
    <mergeCell ref="E7:F7"/>
    <mergeCell ref="C8:D8"/>
    <mergeCell ref="E8:F8"/>
    <mergeCell ref="C9:D9"/>
    <mergeCell ref="E9:F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zoomScaleNormal="100" workbookViewId="0">
      <selection activeCell="J13" sqref="J13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7" customWidth="1"/>
  </cols>
  <sheetData>
    <row r="1" spans="1:10" ht="15" customHeight="1" x14ac:dyDescent="0.25">
      <c r="A1" s="104" t="s">
        <v>220</v>
      </c>
      <c r="B1" s="104"/>
      <c r="C1" s="105" t="s">
        <v>190</v>
      </c>
      <c r="D1" s="105"/>
      <c r="E1" s="105"/>
      <c r="F1" s="105"/>
      <c r="G1" s="106">
        <v>50</v>
      </c>
      <c r="H1" s="107" t="s">
        <v>191</v>
      </c>
      <c r="I1" s="107"/>
      <c r="J1" s="107"/>
    </row>
    <row r="2" spans="1:10" ht="15.75" customHeight="1" x14ac:dyDescent="0.25">
      <c r="A2" s="104"/>
      <c r="B2" s="104"/>
      <c r="C2" s="105"/>
      <c r="D2" s="105"/>
      <c r="E2" s="105"/>
      <c r="F2" s="105"/>
      <c r="G2" s="106"/>
      <c r="H2" s="107"/>
      <c r="I2" s="107"/>
      <c r="J2" s="107"/>
    </row>
    <row r="3" spans="1:10" ht="45.75" customHeight="1" x14ac:dyDescent="0.25">
      <c r="A3" s="39" t="s">
        <v>192</v>
      </c>
      <c r="B3" s="39" t="s">
        <v>193</v>
      </c>
      <c r="C3" s="108" t="s">
        <v>194</v>
      </c>
      <c r="D3" s="108"/>
      <c r="E3" s="108" t="s">
        <v>195</v>
      </c>
      <c r="F3" s="108"/>
      <c r="G3" s="40" t="s">
        <v>196</v>
      </c>
      <c r="H3" s="40" t="s">
        <v>197</v>
      </c>
      <c r="I3" s="41" t="s">
        <v>198</v>
      </c>
      <c r="J3" s="40" t="s">
        <v>199</v>
      </c>
    </row>
    <row r="4" spans="1:10" ht="15.75" customHeight="1" x14ac:dyDescent="0.25">
      <c r="A4" s="42"/>
      <c r="B4" s="43" t="s">
        <v>200</v>
      </c>
      <c r="C4" s="101">
        <v>0.2</v>
      </c>
      <c r="D4" s="101"/>
      <c r="E4" s="102"/>
      <c r="F4" s="102"/>
      <c r="G4" s="44">
        <v>11.2</v>
      </c>
      <c r="H4" s="45">
        <v>1</v>
      </c>
      <c r="I4" s="44">
        <f t="shared" ref="I4:I10" si="0">G4/H4</f>
        <v>11.2</v>
      </c>
      <c r="J4" s="46">
        <f t="shared" ref="J4:J10" si="1">C4*I4</f>
        <v>2.2399999999999998</v>
      </c>
    </row>
    <row r="5" spans="1:10" ht="15.75" customHeight="1" x14ac:dyDescent="0.25">
      <c r="A5" s="47"/>
      <c r="B5" s="48" t="s">
        <v>201</v>
      </c>
      <c r="C5" s="103">
        <v>0.1</v>
      </c>
      <c r="D5" s="103"/>
      <c r="E5" s="102"/>
      <c r="F5" s="102"/>
      <c r="G5" s="44">
        <v>8.7799999999999994</v>
      </c>
      <c r="H5" s="45">
        <v>1</v>
      </c>
      <c r="I5" s="44">
        <f t="shared" si="0"/>
        <v>8.7799999999999994</v>
      </c>
      <c r="J5" s="46">
        <f t="shared" si="1"/>
        <v>0.878</v>
      </c>
    </row>
    <row r="6" spans="1:10" ht="15.75" customHeight="1" x14ac:dyDescent="0.25">
      <c r="A6" s="47"/>
      <c r="B6" s="48" t="s">
        <v>215</v>
      </c>
      <c r="C6" s="103">
        <v>0.02</v>
      </c>
      <c r="D6" s="103"/>
      <c r="E6" s="102"/>
      <c r="F6" s="102"/>
      <c r="G6" s="44">
        <v>14.94</v>
      </c>
      <c r="H6" s="45">
        <v>1</v>
      </c>
      <c r="I6" s="44">
        <f t="shared" si="0"/>
        <v>14.94</v>
      </c>
      <c r="J6" s="46">
        <f t="shared" si="1"/>
        <v>0.29880000000000001</v>
      </c>
    </row>
    <row r="7" spans="1:10" ht="15.75" customHeight="1" x14ac:dyDescent="0.25">
      <c r="A7" s="47"/>
      <c r="B7" s="49" t="s">
        <v>202</v>
      </c>
      <c r="C7" s="98">
        <v>1</v>
      </c>
      <c r="D7" s="98"/>
      <c r="E7" s="99"/>
      <c r="F7" s="99"/>
      <c r="G7" s="44">
        <v>4.75</v>
      </c>
      <c r="H7" s="45">
        <v>1</v>
      </c>
      <c r="I7" s="44">
        <f t="shared" si="0"/>
        <v>4.75</v>
      </c>
      <c r="J7" s="46">
        <f t="shared" si="1"/>
        <v>4.75</v>
      </c>
    </row>
    <row r="8" spans="1:10" ht="15.75" customHeight="1" x14ac:dyDescent="0.25">
      <c r="A8" s="47"/>
      <c r="B8" s="49" t="s">
        <v>221</v>
      </c>
      <c r="C8" s="98">
        <v>0.9</v>
      </c>
      <c r="D8" s="98"/>
      <c r="E8" s="99"/>
      <c r="F8" s="99"/>
      <c r="G8" s="44">
        <v>6.85</v>
      </c>
      <c r="H8" s="45">
        <v>1</v>
      </c>
      <c r="I8" s="44">
        <f t="shared" si="0"/>
        <v>6.85</v>
      </c>
      <c r="J8" s="46">
        <f t="shared" si="1"/>
        <v>6.165</v>
      </c>
    </row>
    <row r="9" spans="1:10" ht="15.75" customHeight="1" x14ac:dyDescent="0.25">
      <c r="A9" s="83"/>
      <c r="B9" s="49" t="s">
        <v>222</v>
      </c>
      <c r="C9" s="98">
        <v>0.01</v>
      </c>
      <c r="D9" s="98"/>
      <c r="E9" s="99"/>
      <c r="F9" s="99"/>
      <c r="G9" s="44">
        <v>11.76</v>
      </c>
      <c r="H9" s="45">
        <v>1</v>
      </c>
      <c r="I9" s="44">
        <f t="shared" si="0"/>
        <v>11.76</v>
      </c>
      <c r="J9" s="46">
        <f t="shared" si="1"/>
        <v>0.1176</v>
      </c>
    </row>
    <row r="10" spans="1:10" ht="16.5" customHeight="1" x14ac:dyDescent="0.25">
      <c r="A10" s="83"/>
      <c r="B10" s="49" t="s">
        <v>223</v>
      </c>
      <c r="C10" s="98">
        <v>0.01</v>
      </c>
      <c r="D10" s="98"/>
      <c r="E10" s="84"/>
      <c r="F10" s="50"/>
      <c r="G10" s="44">
        <v>33.450000000000003</v>
      </c>
      <c r="H10" s="45">
        <v>1</v>
      </c>
      <c r="I10" s="44">
        <f t="shared" si="0"/>
        <v>33.450000000000003</v>
      </c>
      <c r="J10" s="46">
        <f t="shared" si="1"/>
        <v>0.33450000000000002</v>
      </c>
    </row>
    <row r="11" spans="1:10" ht="16.5" customHeight="1" x14ac:dyDescent="0.25">
      <c r="A11" s="51"/>
      <c r="B11" s="52"/>
      <c r="C11" s="53"/>
      <c r="D11" s="53"/>
      <c r="E11" s="53"/>
      <c r="F11" s="53"/>
      <c r="G11" s="53"/>
      <c r="H11" s="54"/>
      <c r="I11" s="51"/>
      <c r="J11" s="55">
        <f>SUM(J4:J10)</f>
        <v>14.783900000000001</v>
      </c>
    </row>
    <row r="12" spans="1:10" ht="16.5" customHeight="1" x14ac:dyDescent="0.25">
      <c r="A12" s="56"/>
      <c r="B12" s="57" t="s">
        <v>204</v>
      </c>
      <c r="C12" s="58" t="s">
        <v>205</v>
      </c>
      <c r="D12" s="58"/>
      <c r="E12" s="59"/>
      <c r="F12" s="59"/>
      <c r="G12" s="60"/>
      <c r="H12" s="60"/>
      <c r="I12" s="60"/>
      <c r="J12" s="61"/>
    </row>
    <row r="13" spans="1:10" ht="30.75" customHeight="1" x14ac:dyDescent="0.25">
      <c r="A13" s="62" t="s">
        <v>206</v>
      </c>
      <c r="B13" s="63"/>
      <c r="C13" s="100" t="s">
        <v>207</v>
      </c>
      <c r="D13" s="100"/>
      <c r="E13" s="100" t="s">
        <v>208</v>
      </c>
      <c r="F13" s="100"/>
      <c r="G13" s="96"/>
      <c r="H13" s="64"/>
      <c r="I13" s="65"/>
      <c r="J13" s="97" t="s">
        <v>224</v>
      </c>
    </row>
    <row r="14" spans="1:10" ht="15" customHeight="1" x14ac:dyDescent="0.25">
      <c r="A14" s="66"/>
      <c r="B14" s="67"/>
      <c r="C14" s="68" t="s">
        <v>210</v>
      </c>
      <c r="D14" s="68" t="s">
        <v>211</v>
      </c>
      <c r="E14" s="68" t="s">
        <v>210</v>
      </c>
      <c r="F14" s="68" t="s">
        <v>211</v>
      </c>
      <c r="G14" s="96"/>
      <c r="H14" s="69"/>
      <c r="I14" s="70"/>
      <c r="J14" s="97"/>
    </row>
    <row r="15" spans="1:10" ht="15.75" customHeight="1" x14ac:dyDescent="0.25">
      <c r="A15" s="71"/>
      <c r="B15" s="72"/>
      <c r="C15" s="73">
        <f>J11</f>
        <v>14.783900000000001</v>
      </c>
      <c r="D15" s="74">
        <v>0.3</v>
      </c>
      <c r="E15" s="75"/>
      <c r="F15" s="76"/>
      <c r="G15" s="77"/>
      <c r="H15" s="78"/>
      <c r="I15" s="79"/>
      <c r="J15" s="80">
        <f>(C15/D15)/G1</f>
        <v>0.98559333333333343</v>
      </c>
    </row>
  </sheetData>
  <mergeCells count="23">
    <mergeCell ref="A1:B2"/>
    <mergeCell ref="C1:F2"/>
    <mergeCell ref="G1:G2"/>
    <mergeCell ref="H1:J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C13:D13"/>
    <mergeCell ref="E13:F13"/>
    <mergeCell ref="G13:G14"/>
    <mergeCell ref="J13:J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zoomScaleNormal="100" workbookViewId="0">
      <selection activeCell="J14" sqref="J14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1.85546875" customWidth="1"/>
  </cols>
  <sheetData>
    <row r="1" spans="1:10" ht="15" customHeight="1" x14ac:dyDescent="0.25">
      <c r="A1" s="104" t="s">
        <v>225</v>
      </c>
      <c r="B1" s="104"/>
      <c r="C1" s="105" t="s">
        <v>190</v>
      </c>
      <c r="D1" s="105"/>
      <c r="E1" s="105"/>
      <c r="F1" s="105"/>
      <c r="G1" s="106">
        <v>1</v>
      </c>
      <c r="H1" s="107" t="s">
        <v>191</v>
      </c>
      <c r="I1" s="107"/>
      <c r="J1" s="107"/>
    </row>
    <row r="2" spans="1:10" ht="15.75" customHeight="1" x14ac:dyDescent="0.25">
      <c r="A2" s="104"/>
      <c r="B2" s="104"/>
      <c r="C2" s="105"/>
      <c r="D2" s="105"/>
      <c r="E2" s="105"/>
      <c r="F2" s="105"/>
      <c r="G2" s="106"/>
      <c r="H2" s="107"/>
      <c r="I2" s="107"/>
      <c r="J2" s="107"/>
    </row>
    <row r="3" spans="1:10" ht="45.75" customHeight="1" x14ac:dyDescent="0.25">
      <c r="A3" s="39" t="s">
        <v>192</v>
      </c>
      <c r="B3" s="39" t="s">
        <v>193</v>
      </c>
      <c r="C3" s="108" t="s">
        <v>194</v>
      </c>
      <c r="D3" s="108"/>
      <c r="E3" s="108" t="s">
        <v>195</v>
      </c>
      <c r="F3" s="108"/>
      <c r="G3" s="40" t="s">
        <v>196</v>
      </c>
      <c r="H3" s="40" t="s">
        <v>197</v>
      </c>
      <c r="I3" s="41" t="s">
        <v>198</v>
      </c>
      <c r="J3" s="40" t="s">
        <v>199</v>
      </c>
    </row>
    <row r="4" spans="1:10" ht="15.75" customHeight="1" x14ac:dyDescent="0.25">
      <c r="A4" s="42"/>
      <c r="B4" s="43" t="s">
        <v>226</v>
      </c>
      <c r="C4" s="101">
        <v>0.01</v>
      </c>
      <c r="D4" s="101"/>
      <c r="E4" s="102"/>
      <c r="F4" s="102"/>
      <c r="G4" s="44">
        <v>7.04</v>
      </c>
      <c r="H4" s="45">
        <v>1</v>
      </c>
      <c r="I4" s="44">
        <f>G4/H4</f>
        <v>7.04</v>
      </c>
      <c r="J4" s="46">
        <f>C4*I4</f>
        <v>7.0400000000000004E-2</v>
      </c>
    </row>
    <row r="5" spans="1:10" ht="15.75" customHeight="1" x14ac:dyDescent="0.25">
      <c r="A5" s="47"/>
      <c r="B5" s="48" t="s">
        <v>227</v>
      </c>
      <c r="C5" s="103">
        <v>0.05</v>
      </c>
      <c r="D5" s="103"/>
      <c r="E5" s="102"/>
      <c r="F5" s="102"/>
      <c r="G5" s="44">
        <v>7.24</v>
      </c>
      <c r="H5" s="45">
        <v>1</v>
      </c>
      <c r="I5" s="44">
        <f>G5/H5</f>
        <v>7.24</v>
      </c>
      <c r="J5" s="46">
        <f>C5*I5</f>
        <v>0.36200000000000004</v>
      </c>
    </row>
    <row r="6" spans="1:10" ht="15.75" customHeight="1" x14ac:dyDescent="0.25">
      <c r="A6" s="47"/>
      <c r="B6" s="48" t="s">
        <v>9</v>
      </c>
      <c r="C6" s="103">
        <v>0.15</v>
      </c>
      <c r="D6" s="103"/>
      <c r="E6" s="102"/>
      <c r="F6" s="102"/>
      <c r="G6" s="44">
        <v>4.83</v>
      </c>
      <c r="H6" s="45">
        <v>1</v>
      </c>
      <c r="I6" s="44">
        <f>G6/H6</f>
        <v>4.83</v>
      </c>
      <c r="J6" s="46">
        <f>C6*I6</f>
        <v>0.72450000000000003</v>
      </c>
    </row>
    <row r="7" spans="1:10" ht="15.75" customHeight="1" x14ac:dyDescent="0.25">
      <c r="A7" s="47"/>
      <c r="B7" s="49" t="s">
        <v>228</v>
      </c>
      <c r="C7" s="98">
        <v>0.01</v>
      </c>
      <c r="D7" s="98"/>
      <c r="E7" s="99"/>
      <c r="F7" s="99"/>
      <c r="G7" s="44">
        <v>11.6</v>
      </c>
      <c r="H7" s="45">
        <v>1</v>
      </c>
      <c r="I7" s="44">
        <f>G7/H7</f>
        <v>11.6</v>
      </c>
      <c r="J7" s="46">
        <f>C7*I7</f>
        <v>0.11599999999999999</v>
      </c>
    </row>
    <row r="8" spans="1:10" ht="16.5" customHeight="1" x14ac:dyDescent="0.25">
      <c r="A8" s="47"/>
      <c r="B8" s="49" t="s">
        <v>67</v>
      </c>
      <c r="C8" s="98">
        <v>0.1</v>
      </c>
      <c r="D8" s="98"/>
      <c r="E8" s="99"/>
      <c r="F8" s="99"/>
      <c r="G8" s="44">
        <v>14.48</v>
      </c>
      <c r="H8" s="45">
        <v>1</v>
      </c>
      <c r="I8" s="44">
        <f>G8/H8</f>
        <v>14.48</v>
      </c>
      <c r="J8" s="46">
        <f>C8*I8</f>
        <v>1.4480000000000002</v>
      </c>
    </row>
    <row r="9" spans="1:10" ht="16.5" customHeight="1" x14ac:dyDescent="0.25">
      <c r="A9" s="51"/>
      <c r="B9" s="52"/>
      <c r="C9" s="53"/>
      <c r="D9" s="53"/>
      <c r="E9" s="53"/>
      <c r="F9" s="53"/>
      <c r="G9" s="53"/>
      <c r="H9" s="54"/>
      <c r="I9" s="51"/>
      <c r="J9" s="55">
        <f>SUM(J4:J8)</f>
        <v>2.7209000000000003</v>
      </c>
    </row>
    <row r="10" spans="1:10" ht="16.5" customHeight="1" x14ac:dyDescent="0.25">
      <c r="A10" s="56"/>
      <c r="B10" s="57" t="s">
        <v>204</v>
      </c>
      <c r="C10" s="58" t="s">
        <v>205</v>
      </c>
      <c r="D10" s="58"/>
      <c r="E10" s="59"/>
      <c r="F10" s="59"/>
      <c r="G10" s="60"/>
      <c r="H10" s="60"/>
      <c r="I10" s="60"/>
      <c r="J10" s="61"/>
    </row>
    <row r="11" spans="1:10" ht="30.75" customHeight="1" x14ac:dyDescent="0.25">
      <c r="A11" s="62" t="s">
        <v>206</v>
      </c>
      <c r="B11" s="63"/>
      <c r="C11" s="100" t="s">
        <v>207</v>
      </c>
      <c r="D11" s="100"/>
      <c r="E11" s="100" t="s">
        <v>208</v>
      </c>
      <c r="F11" s="100"/>
      <c r="G11" s="96"/>
      <c r="H11" s="64"/>
      <c r="I11" s="65"/>
      <c r="J11" s="97" t="s">
        <v>219</v>
      </c>
    </row>
    <row r="12" spans="1:10" ht="15" customHeight="1" x14ac:dyDescent="0.25">
      <c r="A12" s="66"/>
      <c r="B12" s="67"/>
      <c r="C12" s="68" t="s">
        <v>210</v>
      </c>
      <c r="D12" s="68" t="s">
        <v>211</v>
      </c>
      <c r="E12" s="68" t="s">
        <v>210</v>
      </c>
      <c r="F12" s="68" t="s">
        <v>211</v>
      </c>
      <c r="G12" s="96"/>
      <c r="H12" s="69"/>
      <c r="I12" s="70"/>
      <c r="J12" s="97"/>
    </row>
    <row r="13" spans="1:10" ht="15.75" customHeight="1" x14ac:dyDescent="0.25">
      <c r="A13" s="71"/>
      <c r="B13" s="72"/>
      <c r="C13" s="73">
        <f>J9</f>
        <v>2.7209000000000003</v>
      </c>
      <c r="D13" s="74">
        <v>0.3</v>
      </c>
      <c r="E13" s="75"/>
      <c r="F13" s="76"/>
      <c r="G13" s="77"/>
      <c r="H13" s="78"/>
      <c r="I13" s="79"/>
      <c r="J13" s="80">
        <f>J9</f>
        <v>2.7209000000000003</v>
      </c>
    </row>
  </sheetData>
  <mergeCells count="20">
    <mergeCell ref="A1:B2"/>
    <mergeCell ref="C1:F2"/>
    <mergeCell ref="G1:G2"/>
    <mergeCell ref="H1:J2"/>
    <mergeCell ref="C3:D3"/>
    <mergeCell ref="E3:F3"/>
    <mergeCell ref="C4:D4"/>
    <mergeCell ref="E4:F4"/>
    <mergeCell ref="C5:D5"/>
    <mergeCell ref="E5:F5"/>
    <mergeCell ref="C6:D6"/>
    <mergeCell ref="E6:F6"/>
    <mergeCell ref="G11:G12"/>
    <mergeCell ref="J11:J12"/>
    <mergeCell ref="C7:D7"/>
    <mergeCell ref="E7:F7"/>
    <mergeCell ref="C8:D8"/>
    <mergeCell ref="E8:F8"/>
    <mergeCell ref="C11:D11"/>
    <mergeCell ref="E11:F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CUSTO</vt:lpstr>
      <vt:lpstr>DESPERDICIO</vt:lpstr>
      <vt:lpstr>DESCARTE</vt:lpstr>
      <vt:lpstr>PAINEL</vt:lpstr>
      <vt:lpstr>DASHBOARD</vt:lpstr>
      <vt:lpstr>BOLO BASE</vt:lpstr>
      <vt:lpstr>COBERTURA</vt:lpstr>
      <vt:lpstr>QUICHE</vt:lpstr>
      <vt:lpstr>PANQUECA WAFFLE</vt:lpstr>
      <vt:lpstr>SUCO VERDE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Edificio Melia Confort Higienopolis</dc:creator>
  <dc:description/>
  <cp:lastModifiedBy>FELIPE FERNANDES</cp:lastModifiedBy>
  <cp:revision>1</cp:revision>
  <cp:lastPrinted>2025-06-16T08:37:57Z</cp:lastPrinted>
  <dcterms:created xsi:type="dcterms:W3CDTF">2025-06-16T07:52:35Z</dcterms:created>
  <dcterms:modified xsi:type="dcterms:W3CDTF">2026-09-09T13:35:35Z</dcterms:modified>
  <dc:language>en-US</dc:language>
</cp:coreProperties>
</file>